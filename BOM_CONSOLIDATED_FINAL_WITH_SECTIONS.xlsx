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ullah_Abuzaid\AppData\Local\Packages\Claude_pzs8sxrjxfjjc\LocalCache\Roaming\Claude\local-agent-mode-sessions\1b59d0c6-9556-4006-8315-b10a8a09308b\7807cbd8-65a1-44c0-97b6-340989a443b6\fe59bc89\outputs\BOM\"/>
    </mc:Choice>
  </mc:AlternateContent>
  <xr:revisionPtr revIDLastSave="0" documentId="13_ncr:1_{6D393216-B067-44B7-AFBF-F6CBC7D251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 per sections" sheetId="1" r:id="rId1"/>
    <sheet name="Summary Total" sheetId="2" r:id="rId2"/>
    <sheet name="Summary total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6" i="3" l="1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</calcChain>
</file>

<file path=xl/sharedStrings.xml><?xml version="1.0" encoding="utf-8"?>
<sst xmlns="http://schemas.openxmlformats.org/spreadsheetml/2006/main" count="1114" uniqueCount="198">
  <si>
    <t>Model/PN</t>
  </si>
  <si>
    <t>Description</t>
  </si>
  <si>
    <t>NVIDIA Generic Part number</t>
  </si>
  <si>
    <t>Dell PN</t>
  </si>
  <si>
    <t>Category</t>
  </si>
  <si>
    <t>Section</t>
  </si>
  <si>
    <t>BOM - NETWORK - 2026-08-24- IREN -  512 Racks -(B300) - Mackenzie - 512 GPU Storage Testing [Locked]_UNLOCKED.xlsx</t>
  </si>
  <si>
    <t>BOM - NETWORK - 2026-09-023 - IREN -  256 Racks - 8192-GPU (B300)_GOLDEN.xlsx</t>
  </si>
  <si>
    <t>BOM - NETWORK - 2026-09-04- IREN - PS - VR72 4x Test Racks [Quote]_UNLOCKED.xlsx</t>
  </si>
  <si>
    <t>BOM - NETWORK - 2026-09-11- IREN - 50MW 252 Racks - Sweetwater VR NVL72_SN6600-LD_CORE [Quoted]_UNLOCKED.xlsx</t>
  </si>
  <si>
    <t>BOM - NETWORK - 2026-09-11- IREN - 50MW 252 Racks - Sweetwater VR NVL72_SN6600-LD_DH [Quoted]_UNLOCKED.xlsx</t>
  </si>
  <si>
    <t>BOM - NETWORK - 2026-09-15- IREN CHLD_HORIZON_210 Racks - VR NVL72_SN6600-LD_Core-GOLDEN [Quoting]_UNLOCKED.xlsx</t>
  </si>
  <si>
    <t>BOM - NETWORK - 2026-09-15- IREN CHLD_HORIZON_210 Racks - VR NVL72_SN6600-LD_DH_GOLDEN [Quoting]_UNLOCKED.xlsx</t>
  </si>
  <si>
    <t>BOM - NETWORK - 2026-09-23 - IREN -  256 Racks - 8192-GPU (B200).xlsx</t>
  </si>
  <si>
    <t>BOM - NETWORK - 2026-09-23 - IREN -  B4-5 256 Racks - 8192-GPU (B200).xlsx</t>
  </si>
  <si>
    <t>PNL-NETWORK BOM-2026-09-23-Anthropic-Australia_Q1_Q2-21k GPUs VR NVL72.xlsx</t>
  </si>
  <si>
    <t>PNL-NETWORK BOM-2026-09-23-Anthropic-Canada_Q2-32k GPUs VR NVL72.xlsx</t>
  </si>
  <si>
    <t>PNL-NETWORK BOM-2026-09-24-Anthropic-US-Q1-Q2-Cluster1-129k GPUs VR NVL72.xlsx</t>
  </si>
  <si>
    <t>PNL-NETWORK BOM-2026-09-24-Anthropic-US-Q1-Q2-Cluster2-129k GPUs VR NVL72.xlsx</t>
  </si>
  <si>
    <t>PNL-NETWORK BOM-2026-09-25-Anthropic-US_Q1_Q2-Cluster3-9k GPUs VR NVL72.xlsx</t>
  </si>
  <si>
    <t>NScale - NETWORK BOM - Narvik-8k-6810.xlsx</t>
  </si>
  <si>
    <t>NScale - NETWORK BOM - Narvik-8k.xlsx</t>
  </si>
  <si>
    <t>NScale - NETWORK BOM - Narvik-17k.xlsx</t>
  </si>
  <si>
    <t>NScale - NETWORK BOM - US-TBD-18k.xlsx</t>
  </si>
  <si>
    <t>Total Quantity</t>
  </si>
  <si>
    <t>Customer</t>
  </si>
  <si>
    <t>IREN</t>
  </si>
  <si>
    <t>Anthropic</t>
  </si>
  <si>
    <t>NScale</t>
  </si>
  <si>
    <t>Location</t>
  </si>
  <si>
    <t>Childress, Tx</t>
  </si>
  <si>
    <t>Prince George</t>
  </si>
  <si>
    <t>Sweetwater</t>
  </si>
  <si>
    <t>Australia</t>
  </si>
  <si>
    <t>Canada</t>
  </si>
  <si>
    <t>US-Cluster1</t>
  </si>
  <si>
    <t>US-Cluster2</t>
  </si>
  <si>
    <t>US-Cluster3</t>
  </si>
  <si>
    <t>Narvik-8k-6810</t>
  </si>
  <si>
    <t>Narvik-8k</t>
  </si>
  <si>
    <t>Narvik-17k</t>
  </si>
  <si>
    <t>US-TBD-18k</t>
  </si>
  <si>
    <t># of Bldg</t>
  </si>
  <si>
    <t>Focus ID</t>
  </si>
  <si>
    <t>SFDC ID</t>
  </si>
  <si>
    <t>Target Start Date</t>
  </si>
  <si>
    <t>Target End Date</t>
  </si>
  <si>
    <t>470-ABGH</t>
  </si>
  <si>
    <t>CBL-MPO12-4LC-SM-5M</t>
  </si>
  <si>
    <t>Cables</t>
  </si>
  <si>
    <t>N-S Networking</t>
  </si>
  <si>
    <t>920-9N110-00F1-0C0</t>
  </si>
  <si>
    <t>NVDA SN2201 48x1GBaseT, 1U, 2AC PSU, P2C (P/I) Airflow, w/ Cumulus[MSN2201-CB2FC]</t>
  </si>
  <si>
    <t>FTV62</t>
  </si>
  <si>
    <t>Switch</t>
  </si>
  <si>
    <t>OOB Networking</t>
  </si>
  <si>
    <t>920-9N110-00R1- 0C0</t>
  </si>
  <si>
    <t>NVDA SN2201 48x1GBaseT, 1U, 2AC PSU, C2P (I/P) Airflow, w/ Cumulus[MSN2201-CB2RC]</t>
  </si>
  <si>
    <t>920-9N110-00R1-0C0</t>
  </si>
  <si>
    <t>TX78X</t>
  </si>
  <si>
    <t>920-9N110-00R1-NC0</t>
  </si>
  <si>
    <t>SN2201 48x1G + 4x100G, DC Busbar Air Cooled</t>
  </si>
  <si>
    <t>J2MV9</t>
  </si>
  <si>
    <t>920-9N110-01R1-NC0 (DPN: J2MV9)</t>
  </si>
  <si>
    <t>NVDA SN2201 48x1G (BT), 2AC PSU, C2P (I/P) Airflow, w/ BusBar, w/ Cumulus[MSN2201-CSMRC]</t>
  </si>
  <si>
    <t>920-9N301-00RB-0C0</t>
  </si>
  <si>
    <t>NVDA SN4700 400GbE, 32xQSFPDD, 1U, 2AC PSU, C2P (I/P) Airflow, w/ Cumulus[MSN4700-WS2RC]</t>
  </si>
  <si>
    <t>7F0JN</t>
  </si>
  <si>
    <t>E-W Networking</t>
  </si>
  <si>
    <t>920-9N301-00RB-NC0</t>
  </si>
  <si>
    <t>SN4700D, Spectrum-3 based 400GbE 1U Open Ethernet Switch, 32 QSFPDD ports, 48VDC Busbar, x86 CPU, standard depth, C2P airflow, Rail Kit, with Cumulus</t>
  </si>
  <si>
    <t>920-9N42F-00RI-3C1</t>
  </si>
  <si>
    <t>NVDA SN5610 2U 64xOSFP112, 4xAC PSU, C2P (I/P) Airflow, w/ Cumulus[MSN5610???]</t>
  </si>
  <si>
    <t>52MJM</t>
  </si>
  <si>
    <t>920-9N42F-00RI-KC0</t>
  </si>
  <si>
    <t>NVDA SN5600D 2U 64xOSFP112, DC BusBar, C2P (I/P) Airflow, w/ Cumulus[MSN5600D???]</t>
  </si>
  <si>
    <t>CTT0V</t>
  </si>
  <si>
    <t>920-9N62F-00LI-GC1</t>
  </si>
  <si>
    <t>SN6600-LD - NVIDIA Spectrum-6 based 800GbE Ethernet switch with Cumulus Linux Authentication, 64 OSFP, 1 QSFP112, 48VDC Busbar, 8-Cores CPU, Secure-boot, Liquid-Cooling, Rail-Kit.</t>
  </si>
  <si>
    <t>3KF5K</t>
  </si>
  <si>
    <t>980-9I042-00C000</t>
  </si>
  <si>
    <t>NVDA XCVR, 100GbE, QSFP28, LC, 1310nm, Single Mode 1-lane (DR1), IP[MMS1V70-CM]</t>
  </si>
  <si>
    <t>8XTGF</t>
  </si>
  <si>
    <t>Transceiver</t>
  </si>
  <si>
    <t>980-9I16Y-00W000</t>
  </si>
  <si>
    <t>NVDA  400G to 4x100, QSFD-DD,MPO,1310nm SMF, up to 500m, DR4 [MMS1V00-WM]</t>
  </si>
  <si>
    <t>NRW8Y</t>
  </si>
  <si>
    <t>980-9I30G-F4NM00</t>
  </si>
  <si>
    <t>NVDA twin port XCVR, 800GbE,2x400,IPonly,O112,2xMPO12 APC,1310N SMF,to 500m,finned HIS[MMS4X00-NM-T]</t>
  </si>
  <si>
    <t>YW1C0</t>
  </si>
  <si>
    <t>980-9IAJ0-00XM00</t>
  </si>
  <si>
    <t>NVIDIA twin port XCVR, 2xDR4,1600Gbps,OSFP, 2xMPO(APC), 1310nm SMF, up to 500m, RHS, TRO, IP Only</t>
  </si>
  <si>
    <t>M5G88</t>
  </si>
  <si>
    <t>A7204378</t>
  </si>
  <si>
    <t>Switch Xcvr to LC Patch Panel LC-LC short leg patch cable, Other end is MPO to 4xLC to OOB Spine</t>
  </si>
  <si>
    <t>Aircool AC Rack</t>
  </si>
  <si>
    <t>Other</t>
  </si>
  <si>
    <t>Scale Out Networking</t>
  </si>
  <si>
    <t>C4X6C VSR4</t>
  </si>
  <si>
    <t>Hisense 80C multi‑mode QSFP112 transceiver</t>
  </si>
  <si>
    <t>CAT6 Thin 10M</t>
  </si>
  <si>
    <t>CAT6 Thin 3M</t>
  </si>
  <si>
    <t>Cat 6 Cable</t>
  </si>
  <si>
    <t>NVIDIA Spectrum-6 based 800GbE Ethernet switch with Cumulus Linux Authentication, 64 OSFP, 1 QSFP112, 48VDC Busbar, 8-Cores CPU, Secure-boot, Liquid-Cooling, Rail-Kit.D39</t>
  </si>
  <si>
    <t>Corning 4x100 Breakout PP</t>
  </si>
  <si>
    <t>Final Count will come from Actual BOM</t>
  </si>
  <si>
    <t>D3P20</t>
  </si>
  <si>
    <t>MOD,CBL,MPO12-APC,SMF,5M</t>
  </si>
  <si>
    <t>DLC DC Rack</t>
  </si>
  <si>
    <t>EDGE-03U-8B2X2G</t>
  </si>
  <si>
    <t>3U EDGE Shuffling Housing, Holds 8_2x2 Type B Modules for 128 input x 128 output ports</t>
  </si>
  <si>
    <t>Rack</t>
  </si>
  <si>
    <t>Patch Panels / Shuffle Components</t>
  </si>
  <si>
    <t>Fiber Jumper Cable</t>
  </si>
  <si>
    <t>Fiber Jumper cables</t>
  </si>
  <si>
    <t>Jumper cables from shiuffle box to leaf</t>
  </si>
  <si>
    <t>Fiber panel T1-NtwkRack</t>
  </si>
  <si>
    <t>Fiber panel per T1-NtwkRack</t>
  </si>
  <si>
    <t>Fiber shuffle cassette</t>
  </si>
  <si>
    <t>Fiber shuffle cassette per T1-NtwkRack</t>
  </si>
  <si>
    <t>FiberPanel</t>
  </si>
  <si>
    <t>2U Panel</t>
  </si>
  <si>
    <t>FiberPanel - 2U</t>
  </si>
  <si>
    <t>One Patch Panel to rack where SN4700 is installed since 4x100G cable length max size is 5m</t>
  </si>
  <si>
    <t>Fibre Shuffle Cassettes</t>
  </si>
  <si>
    <t>Cassette /SU for Leaf Rack GPU to Leaf [Hosted in Leaf rack] - - MPO-8 4x4 Shuffle Module, 4x8f MPO/APC pinned rear to 4X8f MPO/APC pinned front</t>
  </si>
  <si>
    <t>GEDEDU8GPN-008-U030M</t>
  </si>
  <si>
    <t>288f Trunk, SMF, MPO8 APC Non-pinned to MPO8 APC Non-pinned, Type B Polarity, 8' leg length</t>
  </si>
  <si>
    <t>Racks, PDUs and CDUs</t>
  </si>
  <si>
    <t>IR5000</t>
  </si>
  <si>
    <t>IR5000/750mm</t>
  </si>
  <si>
    <t>IR9048</t>
  </si>
  <si>
    <t>750mm x 1200mm/ 48RU</t>
  </si>
  <si>
    <t>IR9148</t>
  </si>
  <si>
    <t>IR9149</t>
  </si>
  <si>
    <t>IR9000/750mmx1200mm/48U</t>
  </si>
  <si>
    <t>J6TD3</t>
  </si>
  <si>
    <t>JEDED08GE8-NB003M</t>
  </si>
  <si>
    <t>8f Jumper, SMF, MPO8 APC Non-pinned to MPO8 APC Non-pinned, Type B Polarity</t>
  </si>
  <si>
    <t>LC QSFP28-100G-DR1</t>
  </si>
  <si>
    <t>MFP7E10-N05</t>
  </si>
  <si>
    <t>(MPO‑12) multimode fiber cable Type‑B</t>
  </si>
  <si>
    <t>MFP7E10-N050</t>
  </si>
  <si>
    <t>MultiMode Fiber 5 meter MPO12/APC OM4</t>
  </si>
  <si>
    <t>MFP7E10‑N005</t>
  </si>
  <si>
    <t>MultiMode Fiber  MPO12/APC OM4 Type-B - 5 meter</t>
  </si>
  <si>
    <t>MFP7E30-N050</t>
  </si>
  <si>
    <t>MPO-12/APC to MPO-12/APC cable, 1310nm SMF OS2, 100m max, 50 M</t>
  </si>
  <si>
    <t>MFP7E40-N050</t>
  </si>
  <si>
    <t>MPO-12/APC to 2xMPO-12/APC cable, 1310nm SMF OS2, 100m max, 50 M</t>
  </si>
  <si>
    <t>MMA4Z00-NS</t>
  </si>
  <si>
    <t>NVDA XCVR, 800Gbps,2xNDR, OSFP, 2xMPO12 APC, 850nm MMF, up to 50m, finned[MMA4Z00-NS]</t>
  </si>
  <si>
    <t>980-9I510-00NS00</t>
  </si>
  <si>
    <t>70HK1</t>
  </si>
  <si>
    <t>MMA4Z00-NS-FLT</t>
  </si>
  <si>
    <t>NVDA twin port XCVR,800GbE,2x400,IPonly,O112, 2xMPO12 APC,850nm MMF,to 50m,flat top RHS[MMA4Z00-NS-FLT ]</t>
  </si>
  <si>
    <t>980-9I51A-00NS00</t>
  </si>
  <si>
    <t>N72T0</t>
  </si>
  <si>
    <t>MMA4Z00‑NS</t>
  </si>
  <si>
    <t>MMA4Z00‑NS-T</t>
  </si>
  <si>
    <t>NVDA twin port XCVR, 800GbE, 2x400, IPonly,O112, 2xMPO12 APC,850nm MMF,to 50m, finned[MMA4Z00-NS-T]</t>
  </si>
  <si>
    <t>980-9I510-F4NS00</t>
  </si>
  <si>
    <t>YWX59</t>
  </si>
  <si>
    <t>MMC12/APC SMF</t>
  </si>
  <si>
    <t>MMS1V70-CM</t>
  </si>
  <si>
    <t>MMS1X00-NS400</t>
  </si>
  <si>
    <t>NVDA XCVR400GbE, QSFP112, MPO12 APC, R4, SMF, p to 500m, Flattop (MMS1X00-NS400)</t>
  </si>
  <si>
    <t>980-9I068-00NM00</t>
  </si>
  <si>
    <t>6YVDP</t>
  </si>
  <si>
    <t>MMS1X00-NS400 - 6YVDP</t>
  </si>
  <si>
    <t>MMS4X00-NM-T</t>
  </si>
  <si>
    <t>MPO OSFP112-800G-2x400G-2DR4 Twin</t>
  </si>
  <si>
    <t>MPO OSFP224-1600G-2x800G-2DR4 Twin RHS</t>
  </si>
  <si>
    <t>MPO QSFP112-400G-DR4</t>
  </si>
  <si>
    <t>MPO QSFP56DD-400G-DR4</t>
  </si>
  <si>
    <t>MPO12/APC SMF</t>
  </si>
  <si>
    <t>MPO12/APC SMF Jumper</t>
  </si>
  <si>
    <t>MPO12/APC-2MPO12/APC SMF</t>
  </si>
  <si>
    <t>MPO12/APC-4LC SMF</t>
  </si>
  <si>
    <t>MPO12/APC-MMC12/APC SMF</t>
  </si>
  <si>
    <t>NFM93</t>
  </si>
  <si>
    <t>MOD,CBL,MPO12-2MPO4,SMF,30M</t>
  </si>
  <si>
    <t>PDU</t>
  </si>
  <si>
    <t>PDU 3Ph, 415V, 60A</t>
  </si>
  <si>
    <t>3PH, 415V, 60A, 560P6, 42 Outlet</t>
  </si>
  <si>
    <t>PDU per Aircool AC Rack</t>
  </si>
  <si>
    <t>PS</t>
  </si>
  <si>
    <t>PS per DLC DC Rack</t>
  </si>
  <si>
    <t>SN2201 , 1U , C2P</t>
  </si>
  <si>
    <t>48 × RJ45 10/100/1000BASE‑T ports PLUS 4 × QSFP28 ports (can be used as 4×100 GbE, or broken out to lower speeds like 4×25 GbE, etc.)</t>
  </si>
  <si>
    <t>SN2201 AC</t>
  </si>
  <si>
    <t>SN4700</t>
  </si>
  <si>
    <t>SN5610</t>
  </si>
  <si>
    <t>SN6800-LD</t>
  </si>
  <si>
    <t>SN6810-LD</t>
  </si>
  <si>
    <t>Shuffle 4x4 units</t>
  </si>
  <si>
    <t>CommScope</t>
  </si>
  <si>
    <t>T1-NtwkRack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</si>
</sst>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"/>
  <sheetViews>
    <sheetView topLeftCell="P1" workbookViewId="0"/>
  </sheetViews>
  <sheetFormatPr defaultRowHeight="14.4" x14ac:dyDescent="0.3"/>
  <cols>
    <col min="1" max="25" width="20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28</v>
      </c>
      <c r="V2" t="s">
        <v>28</v>
      </c>
      <c r="W2" t="s">
        <v>28</v>
      </c>
      <c r="X2" t="s">
        <v>28</v>
      </c>
    </row>
    <row r="3" spans="1:25" x14ac:dyDescent="0.3">
      <c r="A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32</v>
      </c>
      <c r="L3" t="s">
        <v>30</v>
      </c>
      <c r="M3" t="s">
        <v>30</v>
      </c>
      <c r="N3" t="s">
        <v>30</v>
      </c>
      <c r="O3" t="s">
        <v>30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</row>
    <row r="4" spans="1:25" x14ac:dyDescent="0.3">
      <c r="A4" t="s">
        <v>42</v>
      </c>
    </row>
    <row r="5" spans="1:25" x14ac:dyDescent="0.3">
      <c r="A5" t="s">
        <v>43</v>
      </c>
    </row>
    <row r="6" spans="1:25" x14ac:dyDescent="0.3">
      <c r="A6" t="s">
        <v>44</v>
      </c>
    </row>
    <row r="7" spans="1:25" x14ac:dyDescent="0.3">
      <c r="A7" t="s">
        <v>45</v>
      </c>
    </row>
    <row r="8" spans="1:25" x14ac:dyDescent="0.3">
      <c r="A8" t="s">
        <v>46</v>
      </c>
    </row>
    <row r="9" spans="1:25" x14ac:dyDescent="0.3">
      <c r="A9" t="s">
        <v>47</v>
      </c>
      <c r="B9" t="s">
        <v>48</v>
      </c>
      <c r="E9" t="s">
        <v>49</v>
      </c>
      <c r="F9" t="s">
        <v>50</v>
      </c>
      <c r="G9">
        <v>92</v>
      </c>
      <c r="H9">
        <v>0</v>
      </c>
      <c r="I9">
        <v>0</v>
      </c>
      <c r="J9">
        <v>16</v>
      </c>
      <c r="K9">
        <v>360</v>
      </c>
      <c r="L9">
        <v>32</v>
      </c>
      <c r="M9">
        <v>128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Y9">
        <f t="shared" ref="Y9:Y40" si="0">SUM(F5:W5)</f>
        <v>0</v>
      </c>
    </row>
    <row r="10" spans="1:25" x14ac:dyDescent="0.3">
      <c r="A10" t="s">
        <v>51</v>
      </c>
      <c r="B10" t="s">
        <v>52</v>
      </c>
      <c r="C10" t="s">
        <v>51</v>
      </c>
      <c r="D10" t="s">
        <v>53</v>
      </c>
      <c r="E10" t="s">
        <v>54</v>
      </c>
      <c r="F10" t="s">
        <v>55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Y10">
        <f t="shared" si="0"/>
        <v>0</v>
      </c>
    </row>
    <row r="11" spans="1:25" x14ac:dyDescent="0.3">
      <c r="A11" t="s">
        <v>56</v>
      </c>
      <c r="B11" t="s">
        <v>57</v>
      </c>
      <c r="C11" t="s">
        <v>58</v>
      </c>
      <c r="D11" t="s">
        <v>59</v>
      </c>
      <c r="E11" t="s">
        <v>54</v>
      </c>
      <c r="F11" t="s">
        <v>55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205</v>
      </c>
      <c r="O11">
        <v>198</v>
      </c>
      <c r="P11">
        <v>0</v>
      </c>
      <c r="Q11">
        <v>0</v>
      </c>
      <c r="R11">
        <v>0</v>
      </c>
      <c r="S11">
        <v>0</v>
      </c>
      <c r="T11">
        <v>0</v>
      </c>
      <c r="Y11">
        <f t="shared" si="0"/>
        <v>0</v>
      </c>
    </row>
    <row r="12" spans="1:25" x14ac:dyDescent="0.3">
      <c r="A12" t="s">
        <v>60</v>
      </c>
      <c r="B12" t="s">
        <v>61</v>
      </c>
      <c r="C12" t="s">
        <v>60</v>
      </c>
      <c r="D12" t="s">
        <v>62</v>
      </c>
      <c r="E12" t="s">
        <v>54</v>
      </c>
      <c r="F12" t="s">
        <v>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116</v>
      </c>
      <c r="Q12">
        <v>160</v>
      </c>
      <c r="R12">
        <v>764</v>
      </c>
      <c r="S12">
        <v>764</v>
      </c>
      <c r="T12">
        <v>52</v>
      </c>
      <c r="Y12">
        <f t="shared" si="0"/>
        <v>0</v>
      </c>
    </row>
    <row r="13" spans="1:25" x14ac:dyDescent="0.3">
      <c r="A13" t="s">
        <v>63</v>
      </c>
      <c r="B13" t="s">
        <v>64</v>
      </c>
      <c r="C13" t="s">
        <v>60</v>
      </c>
      <c r="D13" t="s">
        <v>62</v>
      </c>
      <c r="E13" t="s">
        <v>54</v>
      </c>
      <c r="F13" t="s">
        <v>55</v>
      </c>
      <c r="G13">
        <v>0</v>
      </c>
      <c r="H13">
        <v>0</v>
      </c>
      <c r="I13">
        <v>8</v>
      </c>
      <c r="J13">
        <v>21</v>
      </c>
      <c r="K13">
        <v>92</v>
      </c>
      <c r="L13">
        <v>28</v>
      </c>
      <c r="M13">
        <v>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Y13">
        <f t="shared" si="0"/>
        <v>628</v>
      </c>
    </row>
    <row r="14" spans="1:25" x14ac:dyDescent="0.3">
      <c r="A14" t="s">
        <v>65</v>
      </c>
      <c r="B14" t="s">
        <v>66</v>
      </c>
      <c r="C14" t="s">
        <v>65</v>
      </c>
      <c r="D14" t="s">
        <v>67</v>
      </c>
      <c r="E14" t="s">
        <v>54</v>
      </c>
      <c r="F14" t="s">
        <v>68</v>
      </c>
      <c r="G14">
        <v>2</v>
      </c>
      <c r="H14">
        <v>4</v>
      </c>
      <c r="I14">
        <v>1</v>
      </c>
      <c r="J14">
        <v>0</v>
      </c>
      <c r="K14">
        <v>0</v>
      </c>
      <c r="L14">
        <v>0</v>
      </c>
      <c r="M14">
        <v>0</v>
      </c>
      <c r="N14">
        <v>4</v>
      </c>
      <c r="O14">
        <v>4</v>
      </c>
      <c r="P14">
        <v>6</v>
      </c>
      <c r="Q14">
        <v>6</v>
      </c>
      <c r="R14">
        <v>8</v>
      </c>
      <c r="S14">
        <v>8</v>
      </c>
      <c r="T14">
        <v>6</v>
      </c>
      <c r="Y14">
        <f t="shared" si="0"/>
        <v>4</v>
      </c>
    </row>
    <row r="15" spans="1:25" x14ac:dyDescent="0.3">
      <c r="A15" t="s">
        <v>69</v>
      </c>
      <c r="B15" t="s">
        <v>70</v>
      </c>
      <c r="C15" t="s">
        <v>69</v>
      </c>
      <c r="E15" t="s">
        <v>54</v>
      </c>
      <c r="F15" t="s">
        <v>68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42</v>
      </c>
      <c r="Q15">
        <v>64</v>
      </c>
      <c r="R15">
        <v>256</v>
      </c>
      <c r="S15">
        <v>256</v>
      </c>
      <c r="T15">
        <v>18</v>
      </c>
      <c r="Y15">
        <f t="shared" si="0"/>
        <v>403</v>
      </c>
    </row>
    <row r="16" spans="1:25" x14ac:dyDescent="0.3">
      <c r="A16" t="s">
        <v>71</v>
      </c>
      <c r="B16" t="s">
        <v>72</v>
      </c>
      <c r="C16" t="s">
        <v>71</v>
      </c>
      <c r="D16" t="s">
        <v>73</v>
      </c>
      <c r="E16" t="s">
        <v>54</v>
      </c>
      <c r="F16" t="s">
        <v>50</v>
      </c>
      <c r="G16">
        <v>46</v>
      </c>
      <c r="H16">
        <v>428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2</v>
      </c>
      <c r="S16">
        <v>2</v>
      </c>
      <c r="T16">
        <v>2</v>
      </c>
      <c r="Y16">
        <f t="shared" si="0"/>
        <v>1856</v>
      </c>
    </row>
    <row r="17" spans="1:25" x14ac:dyDescent="0.3">
      <c r="A17" t="s">
        <v>74</v>
      </c>
      <c r="B17" t="s">
        <v>75</v>
      </c>
      <c r="C17" t="s">
        <v>74</v>
      </c>
      <c r="D17" t="s">
        <v>76</v>
      </c>
      <c r="E17" t="s">
        <v>54</v>
      </c>
      <c r="F17" t="s">
        <v>50</v>
      </c>
      <c r="G17">
        <v>0</v>
      </c>
      <c r="H17">
        <v>0</v>
      </c>
      <c r="I17">
        <v>0</v>
      </c>
      <c r="J17">
        <v>70</v>
      </c>
      <c r="K17">
        <v>338</v>
      </c>
      <c r="L17">
        <v>94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Y17">
        <f t="shared" si="0"/>
        <v>224</v>
      </c>
    </row>
    <row r="18" spans="1:25" x14ac:dyDescent="0.3">
      <c r="A18" t="s">
        <v>77</v>
      </c>
      <c r="B18" t="s">
        <v>78</v>
      </c>
      <c r="C18" t="s">
        <v>77</v>
      </c>
      <c r="D18" t="s">
        <v>79</v>
      </c>
      <c r="E18" t="s">
        <v>54</v>
      </c>
      <c r="F18" t="s">
        <v>50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1176</v>
      </c>
      <c r="Q18">
        <v>1528</v>
      </c>
      <c r="R18">
        <v>6112</v>
      </c>
      <c r="S18">
        <v>6112</v>
      </c>
      <c r="T18">
        <v>544</v>
      </c>
      <c r="Y18">
        <f t="shared" si="0"/>
        <v>49</v>
      </c>
    </row>
    <row r="19" spans="1:25" x14ac:dyDescent="0.3">
      <c r="A19" t="s">
        <v>80</v>
      </c>
      <c r="B19" t="s">
        <v>81</v>
      </c>
      <c r="C19" t="s">
        <v>80</v>
      </c>
      <c r="D19" t="s">
        <v>82</v>
      </c>
      <c r="E19" t="s">
        <v>83</v>
      </c>
      <c r="F19" t="s">
        <v>50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1502</v>
      </c>
      <c r="Q19">
        <v>2250</v>
      </c>
      <c r="R19">
        <v>9222</v>
      </c>
      <c r="S19">
        <v>9222</v>
      </c>
      <c r="T19">
        <v>654</v>
      </c>
      <c r="Y19">
        <f t="shared" si="0"/>
        <v>636</v>
      </c>
    </row>
    <row r="20" spans="1:25" x14ac:dyDescent="0.3">
      <c r="A20" t="s">
        <v>84</v>
      </c>
      <c r="B20" t="s">
        <v>85</v>
      </c>
      <c r="C20" t="s">
        <v>84</v>
      </c>
      <c r="D20" t="s">
        <v>86</v>
      </c>
      <c r="E20" t="s">
        <v>83</v>
      </c>
      <c r="F20" t="s">
        <v>50</v>
      </c>
      <c r="G20">
        <v>48</v>
      </c>
      <c r="H20">
        <v>32</v>
      </c>
      <c r="I20">
        <v>24</v>
      </c>
      <c r="J20">
        <v>0</v>
      </c>
      <c r="K20">
        <v>0</v>
      </c>
      <c r="L20">
        <v>0</v>
      </c>
      <c r="M20">
        <v>0</v>
      </c>
      <c r="N20">
        <v>16</v>
      </c>
      <c r="O20">
        <v>16</v>
      </c>
      <c r="P20">
        <v>67</v>
      </c>
      <c r="Q20">
        <v>89</v>
      </c>
      <c r="R20">
        <v>2183</v>
      </c>
      <c r="S20">
        <v>2183</v>
      </c>
      <c r="T20">
        <v>152</v>
      </c>
      <c r="Y20">
        <f t="shared" si="0"/>
        <v>484</v>
      </c>
    </row>
    <row r="21" spans="1:25" x14ac:dyDescent="0.3">
      <c r="A21" t="s">
        <v>87</v>
      </c>
      <c r="B21" t="s">
        <v>88</v>
      </c>
      <c r="C21" t="s">
        <v>87</v>
      </c>
      <c r="D21" t="s">
        <v>89</v>
      </c>
      <c r="E21" t="s">
        <v>83</v>
      </c>
      <c r="F21" t="s">
        <v>50</v>
      </c>
      <c r="G21">
        <v>0</v>
      </c>
      <c r="H21">
        <v>0</v>
      </c>
      <c r="I21">
        <v>20</v>
      </c>
      <c r="J21">
        <v>0</v>
      </c>
      <c r="K21">
        <v>0</v>
      </c>
      <c r="L21">
        <v>0</v>
      </c>
      <c r="M21">
        <v>0</v>
      </c>
      <c r="N21">
        <v>792</v>
      </c>
      <c r="O21">
        <v>840</v>
      </c>
      <c r="P21">
        <v>16</v>
      </c>
      <c r="Q21">
        <v>21</v>
      </c>
      <c r="R21">
        <v>70</v>
      </c>
      <c r="S21">
        <v>70</v>
      </c>
      <c r="T21">
        <v>10</v>
      </c>
      <c r="Y21">
        <f t="shared" si="0"/>
        <v>782</v>
      </c>
    </row>
    <row r="22" spans="1:25" x14ac:dyDescent="0.3">
      <c r="A22" t="s">
        <v>90</v>
      </c>
      <c r="B22" t="s">
        <v>91</v>
      </c>
      <c r="C22" t="s">
        <v>90</v>
      </c>
      <c r="D22" t="s">
        <v>92</v>
      </c>
      <c r="E22" t="s">
        <v>83</v>
      </c>
      <c r="F22" t="s">
        <v>50</v>
      </c>
      <c r="G22">
        <v>0</v>
      </c>
      <c r="H22">
        <v>0</v>
      </c>
      <c r="I22">
        <v>288</v>
      </c>
      <c r="J22">
        <v>0</v>
      </c>
      <c r="K22">
        <v>54432</v>
      </c>
      <c r="L22">
        <v>15120</v>
      </c>
      <c r="M22">
        <v>30240</v>
      </c>
      <c r="N22">
        <v>0</v>
      </c>
      <c r="O22">
        <v>0</v>
      </c>
      <c r="P22">
        <v>84672</v>
      </c>
      <c r="Q22">
        <v>129024</v>
      </c>
      <c r="R22">
        <v>516096</v>
      </c>
      <c r="S22">
        <v>516096</v>
      </c>
      <c r="T22">
        <v>27360</v>
      </c>
      <c r="Y22">
        <f t="shared" si="0"/>
        <v>15472</v>
      </c>
    </row>
    <row r="23" spans="1:25" x14ac:dyDescent="0.3">
      <c r="A23" t="s">
        <v>93</v>
      </c>
      <c r="B23" t="s">
        <v>94</v>
      </c>
      <c r="E23" t="s">
        <v>49</v>
      </c>
      <c r="F23" t="s">
        <v>55</v>
      </c>
      <c r="G23">
        <v>0</v>
      </c>
      <c r="H23">
        <v>0</v>
      </c>
      <c r="I23">
        <v>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>
        <f t="shared" si="0"/>
        <v>22850</v>
      </c>
    </row>
    <row r="24" spans="1:25" x14ac:dyDescent="0.3">
      <c r="A24" t="s">
        <v>95</v>
      </c>
      <c r="C24" t="s">
        <v>95</v>
      </c>
      <c r="E24" t="s">
        <v>96</v>
      </c>
      <c r="F24" t="s">
        <v>97</v>
      </c>
      <c r="U24">
        <v>28</v>
      </c>
      <c r="V24">
        <v>28</v>
      </c>
      <c r="W24">
        <v>50</v>
      </c>
      <c r="X24">
        <v>32</v>
      </c>
      <c r="Y24">
        <f t="shared" si="0"/>
        <v>4810</v>
      </c>
    </row>
    <row r="25" spans="1:25" x14ac:dyDescent="0.3">
      <c r="A25" t="s">
        <v>98</v>
      </c>
      <c r="B25" t="s">
        <v>99</v>
      </c>
      <c r="E25" t="s">
        <v>83</v>
      </c>
      <c r="F25" t="s">
        <v>68</v>
      </c>
      <c r="G25">
        <v>176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188</v>
      </c>
      <c r="P25">
        <v>0</v>
      </c>
      <c r="Q25">
        <v>0</v>
      </c>
      <c r="R25">
        <v>0</v>
      </c>
      <c r="S25">
        <v>0</v>
      </c>
      <c r="T25">
        <v>0</v>
      </c>
      <c r="Y25">
        <f t="shared" si="0"/>
        <v>1839</v>
      </c>
    </row>
    <row r="26" spans="1:25" x14ac:dyDescent="0.3">
      <c r="A26" t="s">
        <v>100</v>
      </c>
      <c r="C26" t="s">
        <v>100</v>
      </c>
      <c r="E26" t="s">
        <v>96</v>
      </c>
      <c r="F26" t="s">
        <v>97</v>
      </c>
      <c r="U26">
        <v>4048</v>
      </c>
      <c r="V26">
        <v>4048</v>
      </c>
      <c r="W26">
        <v>8510</v>
      </c>
      <c r="X26">
        <v>5198</v>
      </c>
      <c r="Y26">
        <f t="shared" si="0"/>
        <v>1373328</v>
      </c>
    </row>
    <row r="27" spans="1:25" x14ac:dyDescent="0.3">
      <c r="A27" t="s">
        <v>101</v>
      </c>
      <c r="C27" t="s">
        <v>101</v>
      </c>
      <c r="E27" t="s">
        <v>96</v>
      </c>
      <c r="F27" t="s">
        <v>97</v>
      </c>
      <c r="U27">
        <v>10304</v>
      </c>
      <c r="V27">
        <v>10304</v>
      </c>
      <c r="W27">
        <v>21896</v>
      </c>
      <c r="X27">
        <v>11592</v>
      </c>
      <c r="Y27">
        <f t="shared" si="0"/>
        <v>12</v>
      </c>
    </row>
    <row r="28" spans="1:25" x14ac:dyDescent="0.3">
      <c r="A28" t="s">
        <v>102</v>
      </c>
      <c r="B28" t="s">
        <v>103</v>
      </c>
      <c r="E28" t="s">
        <v>49</v>
      </c>
      <c r="F28" t="s">
        <v>50</v>
      </c>
      <c r="G28">
        <v>0</v>
      </c>
      <c r="H28">
        <v>0</v>
      </c>
      <c r="I28">
        <v>32</v>
      </c>
      <c r="J28">
        <v>0</v>
      </c>
      <c r="K28">
        <v>864</v>
      </c>
      <c r="L28">
        <v>256</v>
      </c>
      <c r="M28">
        <v>480</v>
      </c>
      <c r="N28">
        <v>242</v>
      </c>
      <c r="O28">
        <v>234</v>
      </c>
      <c r="P28">
        <v>0</v>
      </c>
      <c r="Q28">
        <v>0</v>
      </c>
      <c r="R28">
        <v>0</v>
      </c>
      <c r="S28">
        <v>0</v>
      </c>
      <c r="T28">
        <v>0</v>
      </c>
      <c r="Y28">
        <f t="shared" si="0"/>
        <v>106</v>
      </c>
    </row>
    <row r="29" spans="1:25" x14ac:dyDescent="0.3">
      <c r="A29" t="s">
        <v>104</v>
      </c>
      <c r="B29" t="s">
        <v>105</v>
      </c>
      <c r="E29" t="s">
        <v>83</v>
      </c>
      <c r="F29" t="s">
        <v>50</v>
      </c>
      <c r="G29">
        <v>0</v>
      </c>
      <c r="H29">
        <v>0</v>
      </c>
      <c r="I29">
        <v>0</v>
      </c>
      <c r="J29">
        <v>0</v>
      </c>
      <c r="K29">
        <v>24</v>
      </c>
      <c r="L29">
        <v>8</v>
      </c>
      <c r="M29">
        <v>24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Y29">
        <f t="shared" si="0"/>
        <v>364</v>
      </c>
    </row>
    <row r="30" spans="1:25" x14ac:dyDescent="0.3">
      <c r="A30" t="s">
        <v>106</v>
      </c>
      <c r="B30" t="s">
        <v>107</v>
      </c>
      <c r="E30" t="s">
        <v>49</v>
      </c>
      <c r="F30" t="s">
        <v>50</v>
      </c>
      <c r="G30">
        <v>12</v>
      </c>
      <c r="H30">
        <v>24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8</v>
      </c>
      <c r="P30">
        <v>0</v>
      </c>
      <c r="Q30">
        <v>0</v>
      </c>
      <c r="R30">
        <v>0</v>
      </c>
      <c r="S30">
        <v>0</v>
      </c>
      <c r="T30">
        <v>0</v>
      </c>
      <c r="Y30">
        <f t="shared" si="0"/>
        <v>16606</v>
      </c>
    </row>
    <row r="31" spans="1:25" x14ac:dyDescent="0.3">
      <c r="A31" t="s">
        <v>108</v>
      </c>
      <c r="C31" t="s">
        <v>108</v>
      </c>
      <c r="E31" t="s">
        <v>96</v>
      </c>
      <c r="F31" t="s">
        <v>97</v>
      </c>
      <c r="U31">
        <v>48</v>
      </c>
      <c r="V31">
        <v>24</v>
      </c>
      <c r="W31">
        <v>52</v>
      </c>
      <c r="X31">
        <v>36</v>
      </c>
      <c r="Y31">
        <f t="shared" si="0"/>
        <v>42504</v>
      </c>
    </row>
    <row r="32" spans="1:25" x14ac:dyDescent="0.3">
      <c r="A32" t="s">
        <v>109</v>
      </c>
      <c r="B32" t="s">
        <v>110</v>
      </c>
      <c r="E32" t="s">
        <v>111</v>
      </c>
      <c r="F32" t="s">
        <v>112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>
        <f t="shared" si="0"/>
        <v>2108</v>
      </c>
    </row>
    <row r="33" spans="1:25" x14ac:dyDescent="0.3">
      <c r="A33" t="s">
        <v>113</v>
      </c>
      <c r="E33" t="s">
        <v>49</v>
      </c>
      <c r="F33" t="s">
        <v>50</v>
      </c>
      <c r="G33">
        <v>0</v>
      </c>
      <c r="H33">
        <v>0</v>
      </c>
      <c r="I33">
        <v>0</v>
      </c>
      <c r="J33">
        <v>0</v>
      </c>
      <c r="K33">
        <v>72576</v>
      </c>
      <c r="L33">
        <v>0</v>
      </c>
      <c r="M33">
        <v>30240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Y33">
        <f t="shared" si="0"/>
        <v>56</v>
      </c>
    </row>
    <row r="34" spans="1:25" x14ac:dyDescent="0.3">
      <c r="A34" t="s">
        <v>114</v>
      </c>
      <c r="B34" t="s">
        <v>115</v>
      </c>
      <c r="E34" t="s">
        <v>49</v>
      </c>
      <c r="F34" t="s">
        <v>50</v>
      </c>
      <c r="G34">
        <v>0</v>
      </c>
      <c r="H34">
        <v>0</v>
      </c>
      <c r="I34">
        <v>576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Y34">
        <f t="shared" si="0"/>
        <v>52</v>
      </c>
    </row>
    <row r="35" spans="1:25" x14ac:dyDescent="0.3">
      <c r="A35" t="s">
        <v>116</v>
      </c>
      <c r="C35" t="s">
        <v>116</v>
      </c>
      <c r="E35" t="s">
        <v>111</v>
      </c>
      <c r="F35" t="s">
        <v>97</v>
      </c>
      <c r="U35">
        <v>256</v>
      </c>
      <c r="Y35">
        <f t="shared" si="0"/>
        <v>124</v>
      </c>
    </row>
    <row r="36" spans="1:25" x14ac:dyDescent="0.3">
      <c r="A36" t="s">
        <v>117</v>
      </c>
      <c r="C36" t="s">
        <v>117</v>
      </c>
      <c r="E36" t="s">
        <v>111</v>
      </c>
      <c r="F36" t="s">
        <v>97</v>
      </c>
      <c r="U36">
        <v>8</v>
      </c>
      <c r="Y36">
        <f t="shared" si="0"/>
        <v>16</v>
      </c>
    </row>
    <row r="37" spans="1:25" x14ac:dyDescent="0.3">
      <c r="A37" t="s">
        <v>118</v>
      </c>
      <c r="C37" t="s">
        <v>118</v>
      </c>
      <c r="E37" t="s">
        <v>111</v>
      </c>
      <c r="F37" t="s">
        <v>97</v>
      </c>
      <c r="U37">
        <v>4032</v>
      </c>
      <c r="Y37">
        <f t="shared" si="0"/>
        <v>102816</v>
      </c>
    </row>
    <row r="38" spans="1:25" x14ac:dyDescent="0.3">
      <c r="A38" t="s">
        <v>119</v>
      </c>
      <c r="C38" t="s">
        <v>119</v>
      </c>
      <c r="E38" t="s">
        <v>111</v>
      </c>
      <c r="F38" t="s">
        <v>97</v>
      </c>
      <c r="U38">
        <v>126</v>
      </c>
      <c r="Y38">
        <f t="shared" si="0"/>
        <v>576</v>
      </c>
    </row>
    <row r="39" spans="1:25" x14ac:dyDescent="0.3">
      <c r="A39" t="s">
        <v>120</v>
      </c>
      <c r="B39" t="s">
        <v>121</v>
      </c>
      <c r="C39" t="s">
        <v>120</v>
      </c>
      <c r="E39" t="s">
        <v>111</v>
      </c>
      <c r="F39" t="s">
        <v>112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3584</v>
      </c>
      <c r="S39">
        <v>3584</v>
      </c>
      <c r="T39">
        <v>0</v>
      </c>
      <c r="Y39">
        <f t="shared" si="0"/>
        <v>256</v>
      </c>
    </row>
    <row r="40" spans="1:25" x14ac:dyDescent="0.3">
      <c r="A40" t="s">
        <v>122</v>
      </c>
      <c r="B40" t="s">
        <v>123</v>
      </c>
      <c r="E40" t="s">
        <v>49</v>
      </c>
      <c r="F40" t="s">
        <v>112</v>
      </c>
      <c r="G40">
        <v>0</v>
      </c>
      <c r="H40">
        <v>4</v>
      </c>
      <c r="I40">
        <v>4</v>
      </c>
      <c r="J40">
        <v>4</v>
      </c>
      <c r="K40">
        <v>512</v>
      </c>
      <c r="L40">
        <v>0</v>
      </c>
      <c r="M40">
        <v>240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Y40">
        <f t="shared" si="0"/>
        <v>8</v>
      </c>
    </row>
    <row r="41" spans="1:25" x14ac:dyDescent="0.3">
      <c r="A41" t="s">
        <v>124</v>
      </c>
      <c r="B41" t="s">
        <v>125</v>
      </c>
      <c r="C41" t="s">
        <v>124</v>
      </c>
      <c r="E41" t="s">
        <v>111</v>
      </c>
      <c r="F41" t="s">
        <v>112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10584</v>
      </c>
      <c r="Q41">
        <v>16128</v>
      </c>
      <c r="R41">
        <v>129024</v>
      </c>
      <c r="S41">
        <v>129024</v>
      </c>
      <c r="T41">
        <v>4536</v>
      </c>
      <c r="Y41">
        <f t="shared" ref="Y41:Y72" si="1">SUM(F37:W37)</f>
        <v>4032</v>
      </c>
    </row>
    <row r="42" spans="1:25" x14ac:dyDescent="0.3">
      <c r="A42" t="s">
        <v>126</v>
      </c>
      <c r="B42" t="s">
        <v>127</v>
      </c>
      <c r="E42" t="s">
        <v>111</v>
      </c>
      <c r="F42" t="s">
        <v>128</v>
      </c>
      <c r="G42">
        <v>64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Y42">
        <f t="shared" si="1"/>
        <v>126</v>
      </c>
    </row>
    <row r="43" spans="1:25" x14ac:dyDescent="0.3">
      <c r="A43" t="s">
        <v>129</v>
      </c>
      <c r="B43" t="s">
        <v>130</v>
      </c>
      <c r="E43" t="s">
        <v>111</v>
      </c>
      <c r="F43" t="s">
        <v>128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Y43">
        <f t="shared" si="1"/>
        <v>7168</v>
      </c>
    </row>
    <row r="44" spans="1:25" x14ac:dyDescent="0.3">
      <c r="A44" t="s">
        <v>131</v>
      </c>
      <c r="B44" t="s">
        <v>132</v>
      </c>
      <c r="E44" t="s">
        <v>111</v>
      </c>
      <c r="F44" t="s">
        <v>128</v>
      </c>
      <c r="G44">
        <v>4</v>
      </c>
      <c r="H44">
        <v>0</v>
      </c>
      <c r="I44">
        <v>0</v>
      </c>
      <c r="J44">
        <v>11</v>
      </c>
      <c r="K44">
        <v>36</v>
      </c>
      <c r="L44">
        <v>13</v>
      </c>
      <c r="M44">
        <v>30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Y44">
        <f t="shared" si="1"/>
        <v>768</v>
      </c>
    </row>
    <row r="45" spans="1:25" x14ac:dyDescent="0.3">
      <c r="A45" t="s">
        <v>133</v>
      </c>
      <c r="B45" t="s">
        <v>132</v>
      </c>
      <c r="E45" t="s">
        <v>111</v>
      </c>
      <c r="F45" t="s">
        <v>128</v>
      </c>
      <c r="G45">
        <v>0</v>
      </c>
      <c r="H45">
        <v>2</v>
      </c>
      <c r="I45">
        <v>0</v>
      </c>
      <c r="J45">
        <v>0</v>
      </c>
      <c r="K45">
        <v>0</v>
      </c>
      <c r="L45">
        <v>32</v>
      </c>
      <c r="M45">
        <v>0</v>
      </c>
      <c r="N45">
        <v>2</v>
      </c>
      <c r="O45">
        <v>2</v>
      </c>
      <c r="P45">
        <v>116</v>
      </c>
      <c r="Q45">
        <v>160</v>
      </c>
      <c r="R45">
        <v>764</v>
      </c>
      <c r="S45">
        <v>764</v>
      </c>
      <c r="T45">
        <v>52</v>
      </c>
      <c r="Y45">
        <f t="shared" si="1"/>
        <v>289296</v>
      </c>
    </row>
    <row r="46" spans="1:25" x14ac:dyDescent="0.3">
      <c r="A46" t="s">
        <v>134</v>
      </c>
      <c r="B46" t="s">
        <v>135</v>
      </c>
      <c r="E46" t="s">
        <v>111</v>
      </c>
      <c r="F46" t="s">
        <v>128</v>
      </c>
      <c r="G46">
        <v>0</v>
      </c>
      <c r="H46">
        <v>0</v>
      </c>
      <c r="I46">
        <v>0</v>
      </c>
      <c r="J46">
        <v>0</v>
      </c>
      <c r="K46">
        <v>40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>
        <f t="shared" si="1"/>
        <v>64</v>
      </c>
    </row>
    <row r="47" spans="1:25" x14ac:dyDescent="0.3">
      <c r="A47" t="s">
        <v>136</v>
      </c>
      <c r="B47" t="s">
        <v>48</v>
      </c>
      <c r="E47" t="s">
        <v>49</v>
      </c>
      <c r="F47" t="s">
        <v>50</v>
      </c>
      <c r="G47">
        <v>24</v>
      </c>
      <c r="H47">
        <v>0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>
        <f t="shared" si="1"/>
        <v>1</v>
      </c>
    </row>
    <row r="48" spans="1:25" x14ac:dyDescent="0.3">
      <c r="A48" t="s">
        <v>137</v>
      </c>
      <c r="B48" t="s">
        <v>138</v>
      </c>
      <c r="E48" t="s">
        <v>111</v>
      </c>
      <c r="F48" t="s">
        <v>128</v>
      </c>
      <c r="G48">
        <v>2048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>
        <f t="shared" si="1"/>
        <v>99</v>
      </c>
    </row>
    <row r="49" spans="1:25" x14ac:dyDescent="0.3">
      <c r="A49" t="s">
        <v>139</v>
      </c>
      <c r="C49" t="s">
        <v>139</v>
      </c>
      <c r="E49" t="s">
        <v>96</v>
      </c>
      <c r="F49" t="s">
        <v>97</v>
      </c>
      <c r="U49">
        <v>678</v>
      </c>
      <c r="V49">
        <v>678</v>
      </c>
      <c r="W49">
        <v>1412</v>
      </c>
      <c r="X49">
        <v>788</v>
      </c>
      <c r="Y49">
        <f t="shared" si="1"/>
        <v>1894</v>
      </c>
    </row>
    <row r="50" spans="1:25" x14ac:dyDescent="0.3">
      <c r="A50" t="s">
        <v>140</v>
      </c>
      <c r="B50" t="s">
        <v>141</v>
      </c>
      <c r="E50" t="s">
        <v>49</v>
      </c>
      <c r="F50" t="s">
        <v>50</v>
      </c>
      <c r="G50">
        <v>0</v>
      </c>
      <c r="H50">
        <v>0</v>
      </c>
      <c r="I50">
        <v>0</v>
      </c>
      <c r="J50">
        <v>0</v>
      </c>
      <c r="K50">
        <v>0</v>
      </c>
      <c r="L50">
        <v>12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Y50">
        <f t="shared" si="1"/>
        <v>40</v>
      </c>
    </row>
    <row r="51" spans="1:25" x14ac:dyDescent="0.3">
      <c r="A51" t="s">
        <v>142</v>
      </c>
      <c r="B51" t="s">
        <v>143</v>
      </c>
      <c r="E51" t="s">
        <v>49</v>
      </c>
      <c r="F51" t="s">
        <v>50</v>
      </c>
      <c r="G51">
        <v>0</v>
      </c>
      <c r="H51">
        <v>0</v>
      </c>
      <c r="I51">
        <v>0</v>
      </c>
      <c r="J51">
        <v>992</v>
      </c>
      <c r="K51">
        <v>0</v>
      </c>
      <c r="L51">
        <v>1488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>
        <f t="shared" si="1"/>
        <v>30</v>
      </c>
    </row>
    <row r="52" spans="1:25" x14ac:dyDescent="0.3">
      <c r="A52" t="s">
        <v>144</v>
      </c>
      <c r="B52" t="s">
        <v>145</v>
      </c>
      <c r="E52" t="s">
        <v>49</v>
      </c>
      <c r="F52" t="s">
        <v>50</v>
      </c>
      <c r="G52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Y52">
        <f t="shared" si="1"/>
        <v>2048</v>
      </c>
    </row>
    <row r="53" spans="1:25" x14ac:dyDescent="0.3">
      <c r="A53" t="s">
        <v>146</v>
      </c>
      <c r="B53" t="s">
        <v>147</v>
      </c>
      <c r="E53" t="s">
        <v>49</v>
      </c>
      <c r="F53" t="s">
        <v>50</v>
      </c>
      <c r="G53">
        <v>0</v>
      </c>
      <c r="H53">
        <v>0</v>
      </c>
      <c r="I53">
        <v>8</v>
      </c>
      <c r="J53">
        <v>24</v>
      </c>
      <c r="K53">
        <v>88</v>
      </c>
      <c r="L53">
        <v>208</v>
      </c>
      <c r="M53">
        <v>7640</v>
      </c>
      <c r="N53">
        <v>8</v>
      </c>
      <c r="O53">
        <v>8</v>
      </c>
      <c r="P53">
        <v>0</v>
      </c>
      <c r="Q53">
        <v>0</v>
      </c>
      <c r="R53">
        <v>0</v>
      </c>
      <c r="S53">
        <v>0</v>
      </c>
      <c r="T53">
        <v>0</v>
      </c>
      <c r="Y53">
        <f t="shared" si="1"/>
        <v>2768</v>
      </c>
    </row>
    <row r="54" spans="1:25" x14ac:dyDescent="0.3">
      <c r="A54" t="s">
        <v>148</v>
      </c>
      <c r="B54" t="s">
        <v>149</v>
      </c>
      <c r="E54" t="s">
        <v>49</v>
      </c>
      <c r="F54" t="s">
        <v>50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1216</v>
      </c>
      <c r="O54">
        <v>1120</v>
      </c>
      <c r="P54">
        <v>0</v>
      </c>
      <c r="Q54">
        <v>0</v>
      </c>
      <c r="R54">
        <v>0</v>
      </c>
      <c r="S54">
        <v>0</v>
      </c>
      <c r="T54">
        <v>0</v>
      </c>
      <c r="Y54">
        <f t="shared" si="1"/>
        <v>12</v>
      </c>
    </row>
    <row r="55" spans="1:25" x14ac:dyDescent="0.3">
      <c r="A55" t="s">
        <v>150</v>
      </c>
      <c r="B55" t="s">
        <v>151</v>
      </c>
      <c r="C55" t="s">
        <v>152</v>
      </c>
      <c r="D55" t="s">
        <v>153</v>
      </c>
      <c r="E55" t="s">
        <v>83</v>
      </c>
      <c r="F55" t="s">
        <v>50</v>
      </c>
      <c r="G55">
        <v>0</v>
      </c>
      <c r="H55">
        <v>0</v>
      </c>
      <c r="I55">
        <v>0</v>
      </c>
      <c r="J55">
        <v>0</v>
      </c>
      <c r="K55">
        <v>0</v>
      </c>
      <c r="L55">
        <v>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Y55">
        <f t="shared" si="1"/>
        <v>2480</v>
      </c>
    </row>
    <row r="56" spans="1:25" x14ac:dyDescent="0.3">
      <c r="A56" t="s">
        <v>154</v>
      </c>
      <c r="B56" t="s">
        <v>155</v>
      </c>
      <c r="C56" t="s">
        <v>156</v>
      </c>
      <c r="D56" t="s">
        <v>157</v>
      </c>
      <c r="E56" t="s">
        <v>83</v>
      </c>
      <c r="F56" t="s">
        <v>50</v>
      </c>
      <c r="G56">
        <v>0</v>
      </c>
      <c r="H56">
        <v>0</v>
      </c>
      <c r="I56">
        <v>0</v>
      </c>
      <c r="J56">
        <v>496</v>
      </c>
      <c r="K56">
        <v>0</v>
      </c>
      <c r="L56">
        <v>744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>
        <f t="shared" si="1"/>
        <v>176</v>
      </c>
    </row>
    <row r="57" spans="1:25" x14ac:dyDescent="0.3">
      <c r="A57" t="s">
        <v>158</v>
      </c>
      <c r="B57" t="s">
        <v>151</v>
      </c>
      <c r="C57" t="s">
        <v>152</v>
      </c>
      <c r="D57" t="s">
        <v>153</v>
      </c>
      <c r="E57" t="s">
        <v>83</v>
      </c>
      <c r="F57" t="s">
        <v>50</v>
      </c>
      <c r="G57">
        <v>0</v>
      </c>
      <c r="H57">
        <v>0</v>
      </c>
      <c r="I57">
        <v>0</v>
      </c>
      <c r="J57">
        <v>496</v>
      </c>
      <c r="K57">
        <v>0</v>
      </c>
      <c r="L57">
        <v>744</v>
      </c>
      <c r="M57">
        <v>0</v>
      </c>
      <c r="N57">
        <v>0</v>
      </c>
      <c r="O57">
        <v>94</v>
      </c>
      <c r="P57">
        <v>0</v>
      </c>
      <c r="Q57">
        <v>0</v>
      </c>
      <c r="R57">
        <v>0</v>
      </c>
      <c r="S57">
        <v>0</v>
      </c>
      <c r="T57">
        <v>0</v>
      </c>
      <c r="Y57">
        <f t="shared" si="1"/>
        <v>7984</v>
      </c>
    </row>
    <row r="58" spans="1:25" x14ac:dyDescent="0.3">
      <c r="A58" t="s">
        <v>159</v>
      </c>
      <c r="B58" t="s">
        <v>160</v>
      </c>
      <c r="C58" t="s">
        <v>161</v>
      </c>
      <c r="D58" t="s">
        <v>162</v>
      </c>
      <c r="E58" t="s">
        <v>83</v>
      </c>
      <c r="F58" t="s">
        <v>50</v>
      </c>
      <c r="G58">
        <v>88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Y58">
        <f t="shared" si="1"/>
        <v>2336</v>
      </c>
    </row>
    <row r="59" spans="1:25" x14ac:dyDescent="0.3">
      <c r="A59" t="s">
        <v>163</v>
      </c>
      <c r="C59" t="s">
        <v>163</v>
      </c>
      <c r="E59" t="s">
        <v>49</v>
      </c>
      <c r="F59" t="s">
        <v>97</v>
      </c>
      <c r="U59">
        <v>16384</v>
      </c>
      <c r="V59">
        <v>16384</v>
      </c>
      <c r="W59">
        <v>34272</v>
      </c>
      <c r="X59">
        <v>18144</v>
      </c>
      <c r="Y59">
        <f t="shared" si="1"/>
        <v>12</v>
      </c>
    </row>
    <row r="60" spans="1:25" x14ac:dyDescent="0.3">
      <c r="A60" t="s">
        <v>164</v>
      </c>
      <c r="B60" t="s">
        <v>81</v>
      </c>
      <c r="C60" t="s">
        <v>80</v>
      </c>
      <c r="D60" t="s">
        <v>82</v>
      </c>
      <c r="E60" t="s">
        <v>83</v>
      </c>
      <c r="F60" t="s">
        <v>68</v>
      </c>
      <c r="G60">
        <v>0</v>
      </c>
      <c r="H60">
        <v>0</v>
      </c>
      <c r="I60">
        <v>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>
        <f t="shared" si="1"/>
        <v>1240</v>
      </c>
    </row>
    <row r="61" spans="1:25" x14ac:dyDescent="0.3">
      <c r="A61" t="s">
        <v>165</v>
      </c>
      <c r="B61" t="s">
        <v>166</v>
      </c>
      <c r="C61" t="s">
        <v>167</v>
      </c>
      <c r="D61" t="s">
        <v>168</v>
      </c>
      <c r="E61" t="s">
        <v>83</v>
      </c>
      <c r="F61" t="s">
        <v>50</v>
      </c>
      <c r="G61">
        <v>64</v>
      </c>
      <c r="H61">
        <v>0</v>
      </c>
      <c r="I61">
        <v>0</v>
      </c>
      <c r="J61">
        <v>64</v>
      </c>
      <c r="K61">
        <v>8712</v>
      </c>
      <c r="L61">
        <v>64</v>
      </c>
      <c r="M61">
        <v>7260</v>
      </c>
      <c r="N61">
        <v>640</v>
      </c>
      <c r="O61">
        <v>192</v>
      </c>
      <c r="P61">
        <v>0</v>
      </c>
      <c r="Q61">
        <v>0</v>
      </c>
      <c r="R61">
        <v>0</v>
      </c>
      <c r="S61">
        <v>0</v>
      </c>
      <c r="T61">
        <v>0</v>
      </c>
      <c r="Y61">
        <f t="shared" si="1"/>
        <v>1334</v>
      </c>
    </row>
    <row r="62" spans="1:25" x14ac:dyDescent="0.3">
      <c r="A62" t="s">
        <v>169</v>
      </c>
      <c r="B62" t="s">
        <v>166</v>
      </c>
      <c r="C62" t="s">
        <v>167</v>
      </c>
      <c r="D62" t="s">
        <v>168</v>
      </c>
      <c r="E62" t="s">
        <v>83</v>
      </c>
      <c r="F62" t="s">
        <v>50</v>
      </c>
      <c r="G62">
        <v>192</v>
      </c>
      <c r="H62">
        <v>192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Y62">
        <f t="shared" si="1"/>
        <v>88</v>
      </c>
    </row>
    <row r="63" spans="1:25" x14ac:dyDescent="0.3">
      <c r="A63" t="s">
        <v>170</v>
      </c>
      <c r="B63" t="s">
        <v>88</v>
      </c>
      <c r="C63" t="s">
        <v>87</v>
      </c>
      <c r="D63" t="s">
        <v>89</v>
      </c>
      <c r="E63" t="s">
        <v>83</v>
      </c>
      <c r="F63" t="s">
        <v>50</v>
      </c>
      <c r="G63">
        <v>1240</v>
      </c>
      <c r="H63">
        <v>360</v>
      </c>
      <c r="I63">
        <v>0</v>
      </c>
      <c r="J63">
        <v>1024</v>
      </c>
      <c r="K63">
        <v>2524</v>
      </c>
      <c r="L63">
        <v>2320</v>
      </c>
      <c r="M63">
        <v>2046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Y63">
        <f t="shared" si="1"/>
        <v>67040</v>
      </c>
    </row>
    <row r="64" spans="1:25" x14ac:dyDescent="0.3">
      <c r="A64" t="s">
        <v>171</v>
      </c>
      <c r="C64" t="s">
        <v>171</v>
      </c>
      <c r="E64" t="s">
        <v>83</v>
      </c>
      <c r="F64" t="s">
        <v>97</v>
      </c>
      <c r="U64">
        <v>3148</v>
      </c>
      <c r="V64">
        <v>3148</v>
      </c>
      <c r="W64">
        <v>11464</v>
      </c>
      <c r="X64">
        <v>6460</v>
      </c>
      <c r="Y64">
        <f t="shared" si="1"/>
        <v>24</v>
      </c>
    </row>
    <row r="65" spans="1:25" x14ac:dyDescent="0.3">
      <c r="A65" t="s">
        <v>172</v>
      </c>
      <c r="C65" t="s">
        <v>172</v>
      </c>
      <c r="E65" t="s">
        <v>83</v>
      </c>
      <c r="F65" t="s">
        <v>97</v>
      </c>
      <c r="U65">
        <v>8064</v>
      </c>
      <c r="V65">
        <v>8064</v>
      </c>
      <c r="W65">
        <v>17136</v>
      </c>
      <c r="X65">
        <v>9072</v>
      </c>
      <c r="Y65">
        <f t="shared" si="1"/>
        <v>16996</v>
      </c>
    </row>
    <row r="66" spans="1:25" x14ac:dyDescent="0.3">
      <c r="A66" t="s">
        <v>173</v>
      </c>
      <c r="C66" t="s">
        <v>173</v>
      </c>
      <c r="E66" t="s">
        <v>49</v>
      </c>
      <c r="F66" t="s">
        <v>97</v>
      </c>
      <c r="U66">
        <v>4092</v>
      </c>
      <c r="V66">
        <v>4092</v>
      </c>
      <c r="W66">
        <v>8628</v>
      </c>
      <c r="X66">
        <v>4760</v>
      </c>
      <c r="Y66">
        <f t="shared" si="1"/>
        <v>384</v>
      </c>
    </row>
    <row r="67" spans="1:25" x14ac:dyDescent="0.3">
      <c r="A67" t="s">
        <v>174</v>
      </c>
      <c r="C67" t="s">
        <v>174</v>
      </c>
      <c r="E67" t="s">
        <v>49</v>
      </c>
      <c r="F67" t="s">
        <v>97</v>
      </c>
      <c r="U67">
        <v>200</v>
      </c>
      <c r="V67">
        <v>200</v>
      </c>
      <c r="W67">
        <v>398</v>
      </c>
      <c r="X67">
        <v>230</v>
      </c>
      <c r="Y67">
        <f t="shared" si="1"/>
        <v>9514</v>
      </c>
    </row>
    <row r="68" spans="1:25" x14ac:dyDescent="0.3">
      <c r="A68" t="s">
        <v>175</v>
      </c>
      <c r="C68" t="s">
        <v>175</v>
      </c>
      <c r="E68" t="s">
        <v>49</v>
      </c>
      <c r="F68" t="s">
        <v>97</v>
      </c>
      <c r="U68">
        <v>5164</v>
      </c>
      <c r="V68">
        <v>5164</v>
      </c>
      <c r="W68">
        <v>15748</v>
      </c>
      <c r="X68">
        <v>8468</v>
      </c>
      <c r="Y68">
        <f t="shared" si="1"/>
        <v>17760</v>
      </c>
    </row>
    <row r="69" spans="1:25" x14ac:dyDescent="0.3">
      <c r="A69" t="s">
        <v>176</v>
      </c>
      <c r="C69" t="s">
        <v>176</v>
      </c>
      <c r="E69" t="s">
        <v>49</v>
      </c>
      <c r="F69" t="s">
        <v>97</v>
      </c>
      <c r="U69">
        <v>16128</v>
      </c>
      <c r="Y69">
        <f t="shared" si="1"/>
        <v>33264</v>
      </c>
    </row>
    <row r="70" spans="1:25" x14ac:dyDescent="0.3">
      <c r="A70" t="s">
        <v>177</v>
      </c>
      <c r="C70" t="s">
        <v>177</v>
      </c>
      <c r="E70" t="s">
        <v>49</v>
      </c>
      <c r="F70" t="s">
        <v>97</v>
      </c>
      <c r="U70">
        <v>30</v>
      </c>
      <c r="V70">
        <v>30</v>
      </c>
      <c r="W70">
        <v>30</v>
      </c>
      <c r="X70">
        <v>112</v>
      </c>
      <c r="Y70">
        <f t="shared" si="1"/>
        <v>16812</v>
      </c>
    </row>
    <row r="71" spans="1:25" x14ac:dyDescent="0.3">
      <c r="A71" t="s">
        <v>178</v>
      </c>
      <c r="C71" t="s">
        <v>178</v>
      </c>
      <c r="E71" t="s">
        <v>49</v>
      </c>
      <c r="F71" t="s">
        <v>97</v>
      </c>
      <c r="U71">
        <v>184</v>
      </c>
      <c r="V71">
        <v>184</v>
      </c>
      <c r="W71">
        <v>382</v>
      </c>
      <c r="X71">
        <v>214</v>
      </c>
      <c r="Y71">
        <f t="shared" si="1"/>
        <v>798</v>
      </c>
    </row>
    <row r="72" spans="1:25" x14ac:dyDescent="0.3">
      <c r="A72" t="s">
        <v>179</v>
      </c>
      <c r="C72" t="s">
        <v>179</v>
      </c>
      <c r="E72" t="s">
        <v>49</v>
      </c>
      <c r="F72" t="s">
        <v>97</v>
      </c>
      <c r="U72">
        <v>16128</v>
      </c>
      <c r="V72">
        <v>16128</v>
      </c>
      <c r="W72">
        <v>34272</v>
      </c>
      <c r="X72">
        <v>18144</v>
      </c>
      <c r="Y72">
        <f t="shared" si="1"/>
        <v>26076</v>
      </c>
    </row>
    <row r="73" spans="1:25" x14ac:dyDescent="0.3">
      <c r="A73" t="s">
        <v>180</v>
      </c>
      <c r="B73" t="s">
        <v>181</v>
      </c>
      <c r="E73" t="s">
        <v>49</v>
      </c>
      <c r="F73" t="s">
        <v>50</v>
      </c>
      <c r="G73">
        <v>96</v>
      </c>
      <c r="H73">
        <v>192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>
        <f t="shared" ref="Y73:Y104" si="2">SUM(F69:W69)</f>
        <v>16128</v>
      </c>
    </row>
    <row r="74" spans="1:25" x14ac:dyDescent="0.3">
      <c r="A74" t="s">
        <v>182</v>
      </c>
      <c r="C74" t="s">
        <v>182</v>
      </c>
      <c r="E74" t="s">
        <v>96</v>
      </c>
      <c r="F74" t="s">
        <v>97</v>
      </c>
      <c r="U74">
        <v>56</v>
      </c>
      <c r="V74">
        <v>56</v>
      </c>
      <c r="W74">
        <v>100</v>
      </c>
      <c r="X74">
        <v>64</v>
      </c>
      <c r="Y74">
        <f t="shared" si="2"/>
        <v>90</v>
      </c>
    </row>
    <row r="75" spans="1:25" x14ac:dyDescent="0.3">
      <c r="A75" t="s">
        <v>183</v>
      </c>
      <c r="B75" t="s">
        <v>184</v>
      </c>
      <c r="E75" t="s">
        <v>111</v>
      </c>
      <c r="F75" t="s">
        <v>128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Y75">
        <f t="shared" si="2"/>
        <v>750</v>
      </c>
    </row>
    <row r="76" spans="1:25" x14ac:dyDescent="0.3">
      <c r="A76" t="s">
        <v>185</v>
      </c>
      <c r="C76" t="s">
        <v>185</v>
      </c>
      <c r="E76" t="s">
        <v>96</v>
      </c>
      <c r="F76" t="s">
        <v>97</v>
      </c>
      <c r="U76">
        <v>2</v>
      </c>
      <c r="V76">
        <v>2</v>
      </c>
      <c r="W76">
        <v>2</v>
      </c>
      <c r="X76">
        <v>2</v>
      </c>
      <c r="Y76">
        <f t="shared" si="2"/>
        <v>66528</v>
      </c>
    </row>
    <row r="77" spans="1:25" x14ac:dyDescent="0.3">
      <c r="A77" t="s">
        <v>186</v>
      </c>
      <c r="C77" t="s">
        <v>186</v>
      </c>
      <c r="E77" t="s">
        <v>96</v>
      </c>
      <c r="F77" t="s">
        <v>97</v>
      </c>
      <c r="U77">
        <v>192</v>
      </c>
      <c r="V77">
        <v>96</v>
      </c>
      <c r="W77">
        <v>208</v>
      </c>
      <c r="X77">
        <v>144</v>
      </c>
      <c r="Y77">
        <f t="shared" si="2"/>
        <v>288</v>
      </c>
    </row>
    <row r="78" spans="1:25" x14ac:dyDescent="0.3">
      <c r="A78" t="s">
        <v>187</v>
      </c>
      <c r="C78" t="s">
        <v>187</v>
      </c>
      <c r="E78" t="s">
        <v>96</v>
      </c>
      <c r="F78" t="s">
        <v>97</v>
      </c>
      <c r="U78">
        <v>4</v>
      </c>
      <c r="V78">
        <v>4</v>
      </c>
      <c r="W78">
        <v>4</v>
      </c>
      <c r="X78">
        <v>4</v>
      </c>
      <c r="Y78">
        <f t="shared" si="2"/>
        <v>212</v>
      </c>
    </row>
    <row r="79" spans="1:25" x14ac:dyDescent="0.3">
      <c r="A79" t="s">
        <v>188</v>
      </c>
      <c r="B79" t="s">
        <v>189</v>
      </c>
      <c r="E79" t="s">
        <v>49</v>
      </c>
      <c r="F79" t="s">
        <v>55</v>
      </c>
      <c r="G79">
        <v>20</v>
      </c>
      <c r="H79">
        <v>195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>
        <f t="shared" si="2"/>
        <v>2</v>
      </c>
    </row>
    <row r="80" spans="1:25" x14ac:dyDescent="0.3">
      <c r="A80" t="s">
        <v>190</v>
      </c>
      <c r="C80" t="s">
        <v>190</v>
      </c>
      <c r="E80" t="s">
        <v>96</v>
      </c>
      <c r="F80" t="s">
        <v>97</v>
      </c>
      <c r="U80">
        <v>90</v>
      </c>
      <c r="V80">
        <v>90</v>
      </c>
      <c r="W80">
        <v>187</v>
      </c>
      <c r="X80">
        <v>115</v>
      </c>
      <c r="Y80">
        <f t="shared" si="2"/>
        <v>6</v>
      </c>
    </row>
    <row r="81" spans="1:25" x14ac:dyDescent="0.3">
      <c r="A81" t="s">
        <v>191</v>
      </c>
      <c r="C81" t="s">
        <v>191</v>
      </c>
      <c r="E81" t="s">
        <v>96</v>
      </c>
      <c r="F81" t="s">
        <v>97</v>
      </c>
      <c r="U81">
        <v>24</v>
      </c>
      <c r="V81">
        <v>24</v>
      </c>
      <c r="W81">
        <v>42</v>
      </c>
      <c r="X81">
        <v>26</v>
      </c>
      <c r="Y81">
        <f t="shared" si="2"/>
        <v>496</v>
      </c>
    </row>
    <row r="82" spans="1:25" x14ac:dyDescent="0.3">
      <c r="A82" t="s">
        <v>192</v>
      </c>
      <c r="C82" t="s">
        <v>192</v>
      </c>
      <c r="E82" t="s">
        <v>96</v>
      </c>
      <c r="F82" t="s">
        <v>97</v>
      </c>
      <c r="U82">
        <v>86</v>
      </c>
      <c r="V82">
        <v>86</v>
      </c>
      <c r="W82">
        <v>230</v>
      </c>
      <c r="X82">
        <v>134</v>
      </c>
      <c r="Y82">
        <f t="shared" si="2"/>
        <v>12</v>
      </c>
    </row>
    <row r="83" spans="1:25" x14ac:dyDescent="0.3">
      <c r="A83" t="s">
        <v>193</v>
      </c>
      <c r="C83" t="s">
        <v>193</v>
      </c>
      <c r="E83" t="s">
        <v>54</v>
      </c>
      <c r="F83" t="s">
        <v>97</v>
      </c>
      <c r="V83">
        <v>96</v>
      </c>
      <c r="W83">
        <v>208</v>
      </c>
      <c r="X83">
        <v>144</v>
      </c>
      <c r="Y83">
        <f t="shared" si="2"/>
        <v>215</v>
      </c>
    </row>
    <row r="84" spans="1:25" x14ac:dyDescent="0.3">
      <c r="A84" t="s">
        <v>194</v>
      </c>
      <c r="C84" t="s">
        <v>194</v>
      </c>
      <c r="E84" t="s">
        <v>54</v>
      </c>
      <c r="F84" t="s">
        <v>97</v>
      </c>
      <c r="U84">
        <v>384</v>
      </c>
      <c r="Y84">
        <f t="shared" si="2"/>
        <v>367</v>
      </c>
    </row>
    <row r="85" spans="1:25" x14ac:dyDescent="0.3">
      <c r="A85" t="s">
        <v>195</v>
      </c>
      <c r="B85" t="s">
        <v>196</v>
      </c>
      <c r="E85" t="s">
        <v>111</v>
      </c>
      <c r="F85" t="s">
        <v>112</v>
      </c>
      <c r="G85">
        <v>0</v>
      </c>
      <c r="H85">
        <v>0</v>
      </c>
      <c r="I85">
        <v>144</v>
      </c>
      <c r="J85">
        <v>0</v>
      </c>
      <c r="K85">
        <v>18288</v>
      </c>
      <c r="L85">
        <v>0</v>
      </c>
      <c r="M85">
        <v>7560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>
        <f t="shared" si="2"/>
        <v>90</v>
      </c>
    </row>
    <row r="86" spans="1:25" x14ac:dyDescent="0.3">
      <c r="A86" t="s">
        <v>197</v>
      </c>
      <c r="C86" t="s">
        <v>197</v>
      </c>
      <c r="E86" t="s">
        <v>96</v>
      </c>
      <c r="F86" t="s">
        <v>97</v>
      </c>
      <c r="U86">
        <v>32</v>
      </c>
      <c r="Y86">
        <f t="shared" si="2"/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6"/>
  <sheetViews>
    <sheetView topLeftCell="O1" workbookViewId="0"/>
  </sheetViews>
  <sheetFormatPr defaultRowHeight="14.4" x14ac:dyDescent="0.3"/>
  <cols>
    <col min="1" max="24" width="20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25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3">
      <c r="A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32</v>
      </c>
      <c r="L3" t="s">
        <v>30</v>
      </c>
      <c r="M3" t="s">
        <v>30</v>
      </c>
      <c r="N3" t="s">
        <v>30</v>
      </c>
      <c r="O3" t="s">
        <v>30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38</v>
      </c>
      <c r="W3" t="s">
        <v>39</v>
      </c>
      <c r="X3" t="s">
        <v>40</v>
      </c>
      <c r="Y3" t="s">
        <v>41</v>
      </c>
    </row>
    <row r="4" spans="1:25" x14ac:dyDescent="0.3">
      <c r="A4" t="s">
        <v>42</v>
      </c>
    </row>
    <row r="5" spans="1:25" x14ac:dyDescent="0.3">
      <c r="A5" t="s">
        <v>43</v>
      </c>
    </row>
    <row r="6" spans="1:25" x14ac:dyDescent="0.3">
      <c r="A6" t="s">
        <v>44</v>
      </c>
    </row>
    <row r="7" spans="1:25" x14ac:dyDescent="0.3">
      <c r="A7" t="s">
        <v>45</v>
      </c>
    </row>
    <row r="8" spans="1:25" x14ac:dyDescent="0.3">
      <c r="A8" t="s">
        <v>46</v>
      </c>
    </row>
    <row r="9" spans="1:25" x14ac:dyDescent="0.3">
      <c r="A9" t="s">
        <v>47</v>
      </c>
      <c r="B9" t="s">
        <v>48</v>
      </c>
      <c r="E9" t="s">
        <v>49</v>
      </c>
      <c r="G9">
        <v>92</v>
      </c>
      <c r="H9">
        <v>0</v>
      </c>
      <c r="I9">
        <v>0</v>
      </c>
      <c r="J9">
        <v>16</v>
      </c>
      <c r="K9">
        <v>360</v>
      </c>
      <c r="L9">
        <v>32</v>
      </c>
      <c r="M9">
        <v>128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Y9">
        <f t="shared" ref="Y9:Y40" si="0">SUM(F5:W5)</f>
        <v>0</v>
      </c>
    </row>
    <row r="10" spans="1:25" x14ac:dyDescent="0.3">
      <c r="A10" t="s">
        <v>51</v>
      </c>
      <c r="B10" t="s">
        <v>52</v>
      </c>
      <c r="C10" t="s">
        <v>51</v>
      </c>
      <c r="D10" t="s">
        <v>53</v>
      </c>
      <c r="E10" t="s">
        <v>54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Y10">
        <f t="shared" si="0"/>
        <v>0</v>
      </c>
    </row>
    <row r="11" spans="1:25" x14ac:dyDescent="0.3">
      <c r="A11" t="s">
        <v>56</v>
      </c>
      <c r="B11" t="s">
        <v>57</v>
      </c>
      <c r="C11" t="s">
        <v>58</v>
      </c>
      <c r="D11" t="s">
        <v>59</v>
      </c>
      <c r="E11" t="s">
        <v>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205</v>
      </c>
      <c r="O11">
        <v>198</v>
      </c>
      <c r="P11">
        <v>0</v>
      </c>
      <c r="Q11">
        <v>0</v>
      </c>
      <c r="R11">
        <v>0</v>
      </c>
      <c r="S11">
        <v>0</v>
      </c>
      <c r="T11">
        <v>0</v>
      </c>
      <c r="Y11">
        <f t="shared" si="0"/>
        <v>0</v>
      </c>
    </row>
    <row r="12" spans="1:25" x14ac:dyDescent="0.3">
      <c r="A12" t="s">
        <v>60</v>
      </c>
      <c r="B12" t="s">
        <v>61</v>
      </c>
      <c r="C12" t="s">
        <v>60</v>
      </c>
      <c r="D12" t="s">
        <v>62</v>
      </c>
      <c r="E12" t="s">
        <v>54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116</v>
      </c>
      <c r="Q12">
        <v>160</v>
      </c>
      <c r="R12">
        <v>764</v>
      </c>
      <c r="S12">
        <v>764</v>
      </c>
      <c r="T12">
        <v>52</v>
      </c>
      <c r="Y12">
        <f t="shared" si="0"/>
        <v>0</v>
      </c>
    </row>
    <row r="13" spans="1:25" x14ac:dyDescent="0.3">
      <c r="A13" t="s">
        <v>63</v>
      </c>
      <c r="B13" t="s">
        <v>64</v>
      </c>
      <c r="C13" t="s">
        <v>60</v>
      </c>
      <c r="D13" t="s">
        <v>62</v>
      </c>
      <c r="E13" t="s">
        <v>54</v>
      </c>
      <c r="G13">
        <v>0</v>
      </c>
      <c r="H13">
        <v>0</v>
      </c>
      <c r="I13">
        <v>8</v>
      </c>
      <c r="J13">
        <v>21</v>
      </c>
      <c r="K13">
        <v>92</v>
      </c>
      <c r="L13">
        <v>28</v>
      </c>
      <c r="M13">
        <v>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Y13">
        <f t="shared" si="0"/>
        <v>628</v>
      </c>
    </row>
    <row r="14" spans="1:25" x14ac:dyDescent="0.3">
      <c r="A14" t="s">
        <v>65</v>
      </c>
      <c r="B14" t="s">
        <v>66</v>
      </c>
      <c r="C14" t="s">
        <v>65</v>
      </c>
      <c r="D14" t="s">
        <v>67</v>
      </c>
      <c r="E14" t="s">
        <v>54</v>
      </c>
      <c r="G14">
        <v>2</v>
      </c>
      <c r="H14">
        <v>4</v>
      </c>
      <c r="I14">
        <v>1</v>
      </c>
      <c r="J14">
        <v>0</v>
      </c>
      <c r="K14">
        <v>0</v>
      </c>
      <c r="L14">
        <v>0</v>
      </c>
      <c r="M14">
        <v>0</v>
      </c>
      <c r="N14">
        <v>4</v>
      </c>
      <c r="O14">
        <v>4</v>
      </c>
      <c r="P14">
        <v>6</v>
      </c>
      <c r="Q14">
        <v>6</v>
      </c>
      <c r="R14">
        <v>8</v>
      </c>
      <c r="S14">
        <v>8</v>
      </c>
      <c r="T14">
        <v>6</v>
      </c>
      <c r="Y14">
        <f t="shared" si="0"/>
        <v>4</v>
      </c>
    </row>
    <row r="15" spans="1:25" x14ac:dyDescent="0.3">
      <c r="A15" t="s">
        <v>69</v>
      </c>
      <c r="B15" t="s">
        <v>70</v>
      </c>
      <c r="C15" t="s">
        <v>69</v>
      </c>
      <c r="E15" t="s">
        <v>54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42</v>
      </c>
      <c r="Q15">
        <v>64</v>
      </c>
      <c r="R15">
        <v>256</v>
      </c>
      <c r="S15">
        <v>256</v>
      </c>
      <c r="T15">
        <v>18</v>
      </c>
      <c r="Y15">
        <f t="shared" si="0"/>
        <v>403</v>
      </c>
    </row>
    <row r="16" spans="1:25" x14ac:dyDescent="0.3">
      <c r="A16" t="s">
        <v>71</v>
      </c>
      <c r="B16" t="s">
        <v>72</v>
      </c>
      <c r="C16" t="s">
        <v>71</v>
      </c>
      <c r="D16" t="s">
        <v>73</v>
      </c>
      <c r="E16" t="s">
        <v>54</v>
      </c>
      <c r="G16">
        <v>46</v>
      </c>
      <c r="H16">
        <v>428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2</v>
      </c>
      <c r="S16">
        <v>2</v>
      </c>
      <c r="T16">
        <v>2</v>
      </c>
      <c r="Y16">
        <f t="shared" si="0"/>
        <v>1856</v>
      </c>
    </row>
    <row r="17" spans="1:25" x14ac:dyDescent="0.3">
      <c r="A17" t="s">
        <v>74</v>
      </c>
      <c r="B17" t="s">
        <v>75</v>
      </c>
      <c r="C17" t="s">
        <v>74</v>
      </c>
      <c r="D17" t="s">
        <v>76</v>
      </c>
      <c r="E17" t="s">
        <v>54</v>
      </c>
      <c r="G17">
        <v>0</v>
      </c>
      <c r="H17">
        <v>0</v>
      </c>
      <c r="I17">
        <v>0</v>
      </c>
      <c r="J17">
        <v>70</v>
      </c>
      <c r="K17">
        <v>338</v>
      </c>
      <c r="L17">
        <v>94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Y17">
        <f t="shared" si="0"/>
        <v>224</v>
      </c>
    </row>
    <row r="18" spans="1:25" x14ac:dyDescent="0.3">
      <c r="A18" t="s">
        <v>77</v>
      </c>
      <c r="B18" t="s">
        <v>78</v>
      </c>
      <c r="C18" t="s">
        <v>77</v>
      </c>
      <c r="D18" t="s">
        <v>79</v>
      </c>
      <c r="E18" t="s">
        <v>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1176</v>
      </c>
      <c r="Q18">
        <v>1528</v>
      </c>
      <c r="R18">
        <v>6112</v>
      </c>
      <c r="S18">
        <v>6112</v>
      </c>
      <c r="T18">
        <v>544</v>
      </c>
      <c r="Y18">
        <f t="shared" si="0"/>
        <v>49</v>
      </c>
    </row>
    <row r="19" spans="1:25" x14ac:dyDescent="0.3">
      <c r="A19" t="s">
        <v>80</v>
      </c>
      <c r="B19" t="s">
        <v>81</v>
      </c>
      <c r="C19" t="s">
        <v>80</v>
      </c>
      <c r="D19" t="s">
        <v>82</v>
      </c>
      <c r="E19" t="s">
        <v>83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1502</v>
      </c>
      <c r="Q19">
        <v>2250</v>
      </c>
      <c r="R19">
        <v>9222</v>
      </c>
      <c r="S19">
        <v>9222</v>
      </c>
      <c r="T19">
        <v>654</v>
      </c>
      <c r="Y19">
        <f t="shared" si="0"/>
        <v>636</v>
      </c>
    </row>
    <row r="20" spans="1:25" x14ac:dyDescent="0.3">
      <c r="A20" t="s">
        <v>84</v>
      </c>
      <c r="B20" t="s">
        <v>85</v>
      </c>
      <c r="C20" t="s">
        <v>84</v>
      </c>
      <c r="D20" t="s">
        <v>86</v>
      </c>
      <c r="E20" t="s">
        <v>83</v>
      </c>
      <c r="G20">
        <v>48</v>
      </c>
      <c r="H20">
        <v>32</v>
      </c>
      <c r="I20">
        <v>24</v>
      </c>
      <c r="J20">
        <v>0</v>
      </c>
      <c r="K20">
        <v>0</v>
      </c>
      <c r="L20">
        <v>0</v>
      </c>
      <c r="M20">
        <v>0</v>
      </c>
      <c r="N20">
        <v>16</v>
      </c>
      <c r="O20">
        <v>16</v>
      </c>
      <c r="P20">
        <v>67</v>
      </c>
      <c r="Q20">
        <v>89</v>
      </c>
      <c r="R20">
        <v>2183</v>
      </c>
      <c r="S20">
        <v>2183</v>
      </c>
      <c r="T20">
        <v>152</v>
      </c>
      <c r="Y20">
        <f t="shared" si="0"/>
        <v>484</v>
      </c>
    </row>
    <row r="21" spans="1:25" x14ac:dyDescent="0.3">
      <c r="A21" t="s">
        <v>87</v>
      </c>
      <c r="B21" t="s">
        <v>88</v>
      </c>
      <c r="C21" t="s">
        <v>87</v>
      </c>
      <c r="D21" t="s">
        <v>89</v>
      </c>
      <c r="E21" t="s">
        <v>83</v>
      </c>
      <c r="G21">
        <v>0</v>
      </c>
      <c r="H21">
        <v>0</v>
      </c>
      <c r="I21">
        <v>20</v>
      </c>
      <c r="J21">
        <v>0</v>
      </c>
      <c r="K21">
        <v>0</v>
      </c>
      <c r="L21">
        <v>0</v>
      </c>
      <c r="M21">
        <v>0</v>
      </c>
      <c r="N21">
        <v>792</v>
      </c>
      <c r="O21">
        <v>840</v>
      </c>
      <c r="P21">
        <v>16</v>
      </c>
      <c r="Q21">
        <v>21</v>
      </c>
      <c r="R21">
        <v>70</v>
      </c>
      <c r="S21">
        <v>70</v>
      </c>
      <c r="T21">
        <v>10</v>
      </c>
      <c r="Y21">
        <f t="shared" si="0"/>
        <v>782</v>
      </c>
    </row>
    <row r="22" spans="1:25" x14ac:dyDescent="0.3">
      <c r="A22" t="s">
        <v>90</v>
      </c>
      <c r="B22" t="s">
        <v>91</v>
      </c>
      <c r="C22" t="s">
        <v>90</v>
      </c>
      <c r="D22" t="s">
        <v>92</v>
      </c>
      <c r="E22" t="s">
        <v>83</v>
      </c>
      <c r="G22">
        <v>0</v>
      </c>
      <c r="H22">
        <v>0</v>
      </c>
      <c r="I22">
        <v>288</v>
      </c>
      <c r="J22">
        <v>0</v>
      </c>
      <c r="K22">
        <v>54432</v>
      </c>
      <c r="L22">
        <v>15120</v>
      </c>
      <c r="M22">
        <v>30240</v>
      </c>
      <c r="N22">
        <v>0</v>
      </c>
      <c r="O22">
        <v>0</v>
      </c>
      <c r="P22">
        <v>84672</v>
      </c>
      <c r="Q22">
        <v>129024</v>
      </c>
      <c r="R22">
        <v>516096</v>
      </c>
      <c r="S22">
        <v>516096</v>
      </c>
      <c r="T22">
        <v>27360</v>
      </c>
      <c r="Y22">
        <f t="shared" si="0"/>
        <v>15472</v>
      </c>
    </row>
    <row r="23" spans="1:25" x14ac:dyDescent="0.3">
      <c r="A23" t="s">
        <v>93</v>
      </c>
      <c r="B23" t="s">
        <v>94</v>
      </c>
      <c r="E23" t="s">
        <v>49</v>
      </c>
      <c r="G23">
        <v>0</v>
      </c>
      <c r="H23">
        <v>0</v>
      </c>
      <c r="I23">
        <v>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>
        <f t="shared" si="0"/>
        <v>22850</v>
      </c>
    </row>
    <row r="24" spans="1:25" x14ac:dyDescent="0.3">
      <c r="A24" t="s">
        <v>95</v>
      </c>
      <c r="C24" t="s">
        <v>95</v>
      </c>
      <c r="E24" t="s">
        <v>96</v>
      </c>
      <c r="U24">
        <v>28</v>
      </c>
      <c r="V24">
        <v>28</v>
      </c>
      <c r="W24">
        <v>50</v>
      </c>
      <c r="X24">
        <v>32</v>
      </c>
      <c r="Y24">
        <f t="shared" si="0"/>
        <v>4810</v>
      </c>
    </row>
    <row r="25" spans="1:25" x14ac:dyDescent="0.3">
      <c r="A25" t="s">
        <v>98</v>
      </c>
      <c r="B25" t="s">
        <v>99</v>
      </c>
      <c r="E25" t="s">
        <v>83</v>
      </c>
      <c r="G25">
        <v>176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188</v>
      </c>
      <c r="P25">
        <v>0</v>
      </c>
      <c r="Q25">
        <v>0</v>
      </c>
      <c r="R25">
        <v>0</v>
      </c>
      <c r="S25">
        <v>0</v>
      </c>
      <c r="T25">
        <v>0</v>
      </c>
      <c r="Y25">
        <f t="shared" si="0"/>
        <v>1839</v>
      </c>
    </row>
    <row r="26" spans="1:25" x14ac:dyDescent="0.3">
      <c r="A26" t="s">
        <v>100</v>
      </c>
      <c r="C26" t="s">
        <v>100</v>
      </c>
      <c r="E26" t="s">
        <v>96</v>
      </c>
      <c r="U26">
        <v>4048</v>
      </c>
      <c r="V26">
        <v>4048</v>
      </c>
      <c r="W26">
        <v>8510</v>
      </c>
      <c r="X26">
        <v>5198</v>
      </c>
      <c r="Y26">
        <f t="shared" si="0"/>
        <v>1373328</v>
      </c>
    </row>
    <row r="27" spans="1:25" x14ac:dyDescent="0.3">
      <c r="A27" t="s">
        <v>101</v>
      </c>
      <c r="C27" t="s">
        <v>101</v>
      </c>
      <c r="E27" t="s">
        <v>96</v>
      </c>
      <c r="U27">
        <v>10304</v>
      </c>
      <c r="V27">
        <v>10304</v>
      </c>
      <c r="W27">
        <v>21896</v>
      </c>
      <c r="X27">
        <v>11592</v>
      </c>
      <c r="Y27">
        <f t="shared" si="0"/>
        <v>12</v>
      </c>
    </row>
    <row r="28" spans="1:25" x14ac:dyDescent="0.3">
      <c r="A28" t="s">
        <v>102</v>
      </c>
      <c r="B28" t="s">
        <v>103</v>
      </c>
      <c r="E28" t="s">
        <v>49</v>
      </c>
      <c r="G28">
        <v>0</v>
      </c>
      <c r="H28">
        <v>0</v>
      </c>
      <c r="I28">
        <v>32</v>
      </c>
      <c r="J28">
        <v>0</v>
      </c>
      <c r="K28">
        <v>864</v>
      </c>
      <c r="L28">
        <v>256</v>
      </c>
      <c r="M28">
        <v>480</v>
      </c>
      <c r="N28">
        <v>242</v>
      </c>
      <c r="O28">
        <v>234</v>
      </c>
      <c r="P28">
        <v>0</v>
      </c>
      <c r="Q28">
        <v>0</v>
      </c>
      <c r="R28">
        <v>0</v>
      </c>
      <c r="S28">
        <v>0</v>
      </c>
      <c r="T28">
        <v>0</v>
      </c>
      <c r="Y28">
        <f t="shared" si="0"/>
        <v>106</v>
      </c>
    </row>
    <row r="29" spans="1:25" x14ac:dyDescent="0.3">
      <c r="A29" t="s">
        <v>104</v>
      </c>
      <c r="B29" t="s">
        <v>105</v>
      </c>
      <c r="E29" t="s">
        <v>83</v>
      </c>
      <c r="G29">
        <v>0</v>
      </c>
      <c r="H29">
        <v>0</v>
      </c>
      <c r="I29">
        <v>0</v>
      </c>
      <c r="J29">
        <v>0</v>
      </c>
      <c r="K29">
        <v>24</v>
      </c>
      <c r="L29">
        <v>8</v>
      </c>
      <c r="M29">
        <v>24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Y29">
        <f t="shared" si="0"/>
        <v>364</v>
      </c>
    </row>
    <row r="30" spans="1:25" x14ac:dyDescent="0.3">
      <c r="A30" t="s">
        <v>106</v>
      </c>
      <c r="B30" t="s">
        <v>107</v>
      </c>
      <c r="E30" t="s">
        <v>49</v>
      </c>
      <c r="G30">
        <v>12</v>
      </c>
      <c r="H30">
        <v>24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8</v>
      </c>
      <c r="P30">
        <v>0</v>
      </c>
      <c r="Q30">
        <v>0</v>
      </c>
      <c r="R30">
        <v>0</v>
      </c>
      <c r="S30">
        <v>0</v>
      </c>
      <c r="T30">
        <v>0</v>
      </c>
      <c r="Y30">
        <f t="shared" si="0"/>
        <v>16606</v>
      </c>
    </row>
    <row r="31" spans="1:25" x14ac:dyDescent="0.3">
      <c r="A31" t="s">
        <v>108</v>
      </c>
      <c r="C31" t="s">
        <v>108</v>
      </c>
      <c r="E31" t="s">
        <v>96</v>
      </c>
      <c r="U31">
        <v>48</v>
      </c>
      <c r="V31">
        <v>24</v>
      </c>
      <c r="W31">
        <v>52</v>
      </c>
      <c r="X31">
        <v>36</v>
      </c>
      <c r="Y31">
        <f t="shared" si="0"/>
        <v>42504</v>
      </c>
    </row>
    <row r="32" spans="1:25" x14ac:dyDescent="0.3">
      <c r="A32" t="s">
        <v>109</v>
      </c>
      <c r="B32" t="s">
        <v>110</v>
      </c>
      <c r="E32" t="s">
        <v>111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>
        <f t="shared" si="0"/>
        <v>2108</v>
      </c>
    </row>
    <row r="33" spans="1:25" x14ac:dyDescent="0.3">
      <c r="A33" t="s">
        <v>113</v>
      </c>
      <c r="E33" t="s">
        <v>49</v>
      </c>
      <c r="G33">
        <v>0</v>
      </c>
      <c r="H33">
        <v>0</v>
      </c>
      <c r="I33">
        <v>0</v>
      </c>
      <c r="J33">
        <v>0</v>
      </c>
      <c r="K33">
        <v>72576</v>
      </c>
      <c r="L33">
        <v>0</v>
      </c>
      <c r="M33">
        <v>30240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Y33">
        <f t="shared" si="0"/>
        <v>56</v>
      </c>
    </row>
    <row r="34" spans="1:25" x14ac:dyDescent="0.3">
      <c r="A34" t="s">
        <v>114</v>
      </c>
      <c r="B34" t="s">
        <v>115</v>
      </c>
      <c r="E34" t="s">
        <v>49</v>
      </c>
      <c r="G34">
        <v>0</v>
      </c>
      <c r="H34">
        <v>0</v>
      </c>
      <c r="I34">
        <v>576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Y34">
        <f t="shared" si="0"/>
        <v>52</v>
      </c>
    </row>
    <row r="35" spans="1:25" x14ac:dyDescent="0.3">
      <c r="A35" t="s">
        <v>116</v>
      </c>
      <c r="C35" t="s">
        <v>116</v>
      </c>
      <c r="E35" t="s">
        <v>111</v>
      </c>
      <c r="U35">
        <v>256</v>
      </c>
      <c r="Y35">
        <f t="shared" si="0"/>
        <v>124</v>
      </c>
    </row>
    <row r="36" spans="1:25" x14ac:dyDescent="0.3">
      <c r="A36" t="s">
        <v>117</v>
      </c>
      <c r="C36" t="s">
        <v>117</v>
      </c>
      <c r="E36" t="s">
        <v>111</v>
      </c>
      <c r="U36">
        <v>8</v>
      </c>
      <c r="Y36">
        <f t="shared" si="0"/>
        <v>16</v>
      </c>
    </row>
    <row r="37" spans="1:25" x14ac:dyDescent="0.3">
      <c r="A37" t="s">
        <v>118</v>
      </c>
      <c r="C37" t="s">
        <v>118</v>
      </c>
      <c r="E37" t="s">
        <v>111</v>
      </c>
      <c r="U37">
        <v>4032</v>
      </c>
      <c r="Y37">
        <f t="shared" si="0"/>
        <v>102816</v>
      </c>
    </row>
    <row r="38" spans="1:25" x14ac:dyDescent="0.3">
      <c r="A38" t="s">
        <v>119</v>
      </c>
      <c r="C38" t="s">
        <v>119</v>
      </c>
      <c r="E38" t="s">
        <v>111</v>
      </c>
      <c r="U38">
        <v>126</v>
      </c>
      <c r="Y38">
        <f t="shared" si="0"/>
        <v>576</v>
      </c>
    </row>
    <row r="39" spans="1:25" x14ac:dyDescent="0.3">
      <c r="A39" t="s">
        <v>120</v>
      </c>
      <c r="B39" t="s">
        <v>121</v>
      </c>
      <c r="C39" t="s">
        <v>120</v>
      </c>
      <c r="E39" t="s">
        <v>111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3584</v>
      </c>
      <c r="S39">
        <v>3584</v>
      </c>
      <c r="T39">
        <v>0</v>
      </c>
      <c r="Y39">
        <f t="shared" si="0"/>
        <v>256</v>
      </c>
    </row>
    <row r="40" spans="1:25" x14ac:dyDescent="0.3">
      <c r="A40" t="s">
        <v>122</v>
      </c>
      <c r="B40" t="s">
        <v>123</v>
      </c>
      <c r="E40" t="s">
        <v>49</v>
      </c>
      <c r="G40">
        <v>0</v>
      </c>
      <c r="H40">
        <v>4</v>
      </c>
      <c r="I40">
        <v>4</v>
      </c>
      <c r="J40">
        <v>4</v>
      </c>
      <c r="K40">
        <v>512</v>
      </c>
      <c r="L40">
        <v>0</v>
      </c>
      <c r="M40">
        <v>240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Y40">
        <f t="shared" si="0"/>
        <v>8</v>
      </c>
    </row>
    <row r="41" spans="1:25" x14ac:dyDescent="0.3">
      <c r="A41" t="s">
        <v>124</v>
      </c>
      <c r="B41" t="s">
        <v>125</v>
      </c>
      <c r="C41" t="s">
        <v>124</v>
      </c>
      <c r="E41" t="s">
        <v>111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10584</v>
      </c>
      <c r="Q41">
        <v>16128</v>
      </c>
      <c r="R41">
        <v>129024</v>
      </c>
      <c r="S41">
        <v>129024</v>
      </c>
      <c r="T41">
        <v>4536</v>
      </c>
      <c r="Y41">
        <f t="shared" ref="Y41:Y72" si="1">SUM(F37:W37)</f>
        <v>4032</v>
      </c>
    </row>
    <row r="42" spans="1:25" x14ac:dyDescent="0.3">
      <c r="A42" t="s">
        <v>126</v>
      </c>
      <c r="B42" t="s">
        <v>127</v>
      </c>
      <c r="E42" t="s">
        <v>111</v>
      </c>
      <c r="G42">
        <v>64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Y42">
        <f t="shared" si="1"/>
        <v>126</v>
      </c>
    </row>
    <row r="43" spans="1:25" x14ac:dyDescent="0.3">
      <c r="A43" t="s">
        <v>129</v>
      </c>
      <c r="B43" t="s">
        <v>130</v>
      </c>
      <c r="E43" t="s">
        <v>111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Y43">
        <f t="shared" si="1"/>
        <v>7168</v>
      </c>
    </row>
    <row r="44" spans="1:25" x14ac:dyDescent="0.3">
      <c r="A44" t="s">
        <v>131</v>
      </c>
      <c r="B44" t="s">
        <v>132</v>
      </c>
      <c r="E44" t="s">
        <v>111</v>
      </c>
      <c r="G44">
        <v>4</v>
      </c>
      <c r="H44">
        <v>0</v>
      </c>
      <c r="I44">
        <v>0</v>
      </c>
      <c r="J44">
        <v>11</v>
      </c>
      <c r="K44">
        <v>36</v>
      </c>
      <c r="L44">
        <v>13</v>
      </c>
      <c r="M44">
        <v>30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Y44">
        <f t="shared" si="1"/>
        <v>768</v>
      </c>
    </row>
    <row r="45" spans="1:25" x14ac:dyDescent="0.3">
      <c r="A45" t="s">
        <v>133</v>
      </c>
      <c r="B45" t="s">
        <v>132</v>
      </c>
      <c r="E45" t="s">
        <v>111</v>
      </c>
      <c r="G45">
        <v>0</v>
      </c>
      <c r="H45">
        <v>2</v>
      </c>
      <c r="I45">
        <v>0</v>
      </c>
      <c r="J45">
        <v>0</v>
      </c>
      <c r="K45">
        <v>0</v>
      </c>
      <c r="L45">
        <v>32</v>
      </c>
      <c r="M45">
        <v>0</v>
      </c>
      <c r="N45">
        <v>2</v>
      </c>
      <c r="O45">
        <v>2</v>
      </c>
      <c r="P45">
        <v>116</v>
      </c>
      <c r="Q45">
        <v>160</v>
      </c>
      <c r="R45">
        <v>764</v>
      </c>
      <c r="S45">
        <v>764</v>
      </c>
      <c r="T45">
        <v>52</v>
      </c>
      <c r="Y45">
        <f t="shared" si="1"/>
        <v>289296</v>
      </c>
    </row>
    <row r="46" spans="1:25" x14ac:dyDescent="0.3">
      <c r="A46" t="s">
        <v>134</v>
      </c>
      <c r="B46" t="s">
        <v>135</v>
      </c>
      <c r="E46" t="s">
        <v>111</v>
      </c>
      <c r="G46">
        <v>0</v>
      </c>
      <c r="H46">
        <v>0</v>
      </c>
      <c r="I46">
        <v>0</v>
      </c>
      <c r="J46">
        <v>0</v>
      </c>
      <c r="K46">
        <v>40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>
        <f t="shared" si="1"/>
        <v>64</v>
      </c>
    </row>
    <row r="47" spans="1:25" x14ac:dyDescent="0.3">
      <c r="A47" t="s">
        <v>136</v>
      </c>
      <c r="B47" t="s">
        <v>48</v>
      </c>
      <c r="E47" t="s">
        <v>49</v>
      </c>
      <c r="G47">
        <v>24</v>
      </c>
      <c r="H47">
        <v>0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>
        <f t="shared" si="1"/>
        <v>1</v>
      </c>
    </row>
    <row r="48" spans="1:25" x14ac:dyDescent="0.3">
      <c r="A48" t="s">
        <v>137</v>
      </c>
      <c r="B48" t="s">
        <v>138</v>
      </c>
      <c r="E48" t="s">
        <v>111</v>
      </c>
      <c r="G48">
        <v>2048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>
        <f t="shared" si="1"/>
        <v>99</v>
      </c>
    </row>
    <row r="49" spans="1:25" x14ac:dyDescent="0.3">
      <c r="A49" t="s">
        <v>139</v>
      </c>
      <c r="C49" t="s">
        <v>139</v>
      </c>
      <c r="E49" t="s">
        <v>96</v>
      </c>
      <c r="U49">
        <v>678</v>
      </c>
      <c r="V49">
        <v>678</v>
      </c>
      <c r="W49">
        <v>1412</v>
      </c>
      <c r="X49">
        <v>788</v>
      </c>
      <c r="Y49">
        <f t="shared" si="1"/>
        <v>1894</v>
      </c>
    </row>
    <row r="50" spans="1:25" x14ac:dyDescent="0.3">
      <c r="A50" t="s">
        <v>140</v>
      </c>
      <c r="B50" t="s">
        <v>141</v>
      </c>
      <c r="E50" t="s">
        <v>49</v>
      </c>
      <c r="G50">
        <v>0</v>
      </c>
      <c r="H50">
        <v>0</v>
      </c>
      <c r="I50">
        <v>0</v>
      </c>
      <c r="J50">
        <v>0</v>
      </c>
      <c r="K50">
        <v>0</v>
      </c>
      <c r="L50">
        <v>12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Y50">
        <f t="shared" si="1"/>
        <v>40</v>
      </c>
    </row>
    <row r="51" spans="1:25" x14ac:dyDescent="0.3">
      <c r="A51" t="s">
        <v>142</v>
      </c>
      <c r="B51" t="s">
        <v>143</v>
      </c>
      <c r="E51" t="s">
        <v>49</v>
      </c>
      <c r="G51">
        <v>0</v>
      </c>
      <c r="H51">
        <v>0</v>
      </c>
      <c r="I51">
        <v>0</v>
      </c>
      <c r="J51">
        <v>992</v>
      </c>
      <c r="K51">
        <v>0</v>
      </c>
      <c r="L51">
        <v>1488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>
        <f t="shared" si="1"/>
        <v>30</v>
      </c>
    </row>
    <row r="52" spans="1:25" x14ac:dyDescent="0.3">
      <c r="A52" t="s">
        <v>144</v>
      </c>
      <c r="B52" t="s">
        <v>145</v>
      </c>
      <c r="E52" t="s">
        <v>49</v>
      </c>
      <c r="G52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Y52">
        <f t="shared" si="1"/>
        <v>2048</v>
      </c>
    </row>
    <row r="53" spans="1:25" x14ac:dyDescent="0.3">
      <c r="A53" t="s">
        <v>146</v>
      </c>
      <c r="B53" t="s">
        <v>147</v>
      </c>
      <c r="E53" t="s">
        <v>49</v>
      </c>
      <c r="G53">
        <v>0</v>
      </c>
      <c r="H53">
        <v>0</v>
      </c>
      <c r="I53">
        <v>8</v>
      </c>
      <c r="J53">
        <v>24</v>
      </c>
      <c r="K53">
        <v>88</v>
      </c>
      <c r="L53">
        <v>208</v>
      </c>
      <c r="M53">
        <v>7640</v>
      </c>
      <c r="N53">
        <v>8</v>
      </c>
      <c r="O53">
        <v>8</v>
      </c>
      <c r="P53">
        <v>0</v>
      </c>
      <c r="Q53">
        <v>0</v>
      </c>
      <c r="R53">
        <v>0</v>
      </c>
      <c r="S53">
        <v>0</v>
      </c>
      <c r="T53">
        <v>0</v>
      </c>
      <c r="Y53">
        <f t="shared" si="1"/>
        <v>2768</v>
      </c>
    </row>
    <row r="54" spans="1:25" x14ac:dyDescent="0.3">
      <c r="A54" t="s">
        <v>148</v>
      </c>
      <c r="B54" t="s">
        <v>149</v>
      </c>
      <c r="E54" t="s">
        <v>49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1216</v>
      </c>
      <c r="O54">
        <v>1120</v>
      </c>
      <c r="P54">
        <v>0</v>
      </c>
      <c r="Q54">
        <v>0</v>
      </c>
      <c r="R54">
        <v>0</v>
      </c>
      <c r="S54">
        <v>0</v>
      </c>
      <c r="T54">
        <v>0</v>
      </c>
      <c r="Y54">
        <f t="shared" si="1"/>
        <v>12</v>
      </c>
    </row>
    <row r="55" spans="1:25" x14ac:dyDescent="0.3">
      <c r="A55" t="s">
        <v>150</v>
      </c>
      <c r="B55" t="s">
        <v>151</v>
      </c>
      <c r="C55" t="s">
        <v>152</v>
      </c>
      <c r="D55" t="s">
        <v>153</v>
      </c>
      <c r="E55" t="s">
        <v>83</v>
      </c>
      <c r="G55">
        <v>0</v>
      </c>
      <c r="H55">
        <v>0</v>
      </c>
      <c r="I55">
        <v>0</v>
      </c>
      <c r="J55">
        <v>0</v>
      </c>
      <c r="K55">
        <v>0</v>
      </c>
      <c r="L55">
        <v>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Y55">
        <f t="shared" si="1"/>
        <v>2480</v>
      </c>
    </row>
    <row r="56" spans="1:25" x14ac:dyDescent="0.3">
      <c r="A56" t="s">
        <v>154</v>
      </c>
      <c r="B56" t="s">
        <v>155</v>
      </c>
      <c r="C56" t="s">
        <v>156</v>
      </c>
      <c r="D56" t="s">
        <v>157</v>
      </c>
      <c r="E56" t="s">
        <v>83</v>
      </c>
      <c r="G56">
        <v>0</v>
      </c>
      <c r="H56">
        <v>0</v>
      </c>
      <c r="I56">
        <v>0</v>
      </c>
      <c r="J56">
        <v>496</v>
      </c>
      <c r="K56">
        <v>0</v>
      </c>
      <c r="L56">
        <v>744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>
        <f t="shared" si="1"/>
        <v>176</v>
      </c>
    </row>
    <row r="57" spans="1:25" x14ac:dyDescent="0.3">
      <c r="A57" t="s">
        <v>158</v>
      </c>
      <c r="B57" t="s">
        <v>151</v>
      </c>
      <c r="C57" t="s">
        <v>152</v>
      </c>
      <c r="D57" t="s">
        <v>153</v>
      </c>
      <c r="E57" t="s">
        <v>83</v>
      </c>
      <c r="G57">
        <v>0</v>
      </c>
      <c r="H57">
        <v>0</v>
      </c>
      <c r="I57">
        <v>0</v>
      </c>
      <c r="J57">
        <v>496</v>
      </c>
      <c r="K57">
        <v>0</v>
      </c>
      <c r="L57">
        <v>744</v>
      </c>
      <c r="M57">
        <v>0</v>
      </c>
      <c r="N57">
        <v>0</v>
      </c>
      <c r="O57">
        <v>94</v>
      </c>
      <c r="P57">
        <v>0</v>
      </c>
      <c r="Q57">
        <v>0</v>
      </c>
      <c r="R57">
        <v>0</v>
      </c>
      <c r="S57">
        <v>0</v>
      </c>
      <c r="T57">
        <v>0</v>
      </c>
      <c r="Y57">
        <f t="shared" si="1"/>
        <v>7984</v>
      </c>
    </row>
    <row r="58" spans="1:25" x14ac:dyDescent="0.3">
      <c r="A58" t="s">
        <v>159</v>
      </c>
      <c r="B58" t="s">
        <v>160</v>
      </c>
      <c r="C58" t="s">
        <v>161</v>
      </c>
      <c r="D58" t="s">
        <v>162</v>
      </c>
      <c r="E58" t="s">
        <v>83</v>
      </c>
      <c r="G58">
        <v>88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Y58">
        <f t="shared" si="1"/>
        <v>2336</v>
      </c>
    </row>
    <row r="59" spans="1:25" x14ac:dyDescent="0.3">
      <c r="A59" t="s">
        <v>163</v>
      </c>
      <c r="C59" t="s">
        <v>163</v>
      </c>
      <c r="E59" t="s">
        <v>49</v>
      </c>
      <c r="U59">
        <v>16384</v>
      </c>
      <c r="V59">
        <v>16384</v>
      </c>
      <c r="W59">
        <v>34272</v>
      </c>
      <c r="X59">
        <v>18144</v>
      </c>
      <c r="Y59">
        <f t="shared" si="1"/>
        <v>12</v>
      </c>
    </row>
    <row r="60" spans="1:25" x14ac:dyDescent="0.3">
      <c r="A60" t="s">
        <v>164</v>
      </c>
      <c r="B60" t="s">
        <v>81</v>
      </c>
      <c r="C60" t="s">
        <v>80</v>
      </c>
      <c r="D60" t="s">
        <v>82</v>
      </c>
      <c r="E60" t="s">
        <v>83</v>
      </c>
      <c r="G60">
        <v>0</v>
      </c>
      <c r="H60">
        <v>0</v>
      </c>
      <c r="I60">
        <v>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>
        <f t="shared" si="1"/>
        <v>1240</v>
      </c>
    </row>
    <row r="61" spans="1:25" x14ac:dyDescent="0.3">
      <c r="A61" t="s">
        <v>165</v>
      </c>
      <c r="B61" t="s">
        <v>166</v>
      </c>
      <c r="C61" t="s">
        <v>167</v>
      </c>
      <c r="D61" t="s">
        <v>168</v>
      </c>
      <c r="E61" t="s">
        <v>83</v>
      </c>
      <c r="G61">
        <v>64</v>
      </c>
      <c r="H61">
        <v>0</v>
      </c>
      <c r="I61">
        <v>0</v>
      </c>
      <c r="J61">
        <v>64</v>
      </c>
      <c r="K61">
        <v>8712</v>
      </c>
      <c r="L61">
        <v>64</v>
      </c>
      <c r="M61">
        <v>7260</v>
      </c>
      <c r="N61">
        <v>640</v>
      </c>
      <c r="O61">
        <v>192</v>
      </c>
      <c r="P61">
        <v>0</v>
      </c>
      <c r="Q61">
        <v>0</v>
      </c>
      <c r="R61">
        <v>0</v>
      </c>
      <c r="S61">
        <v>0</v>
      </c>
      <c r="T61">
        <v>0</v>
      </c>
      <c r="Y61">
        <f t="shared" si="1"/>
        <v>1334</v>
      </c>
    </row>
    <row r="62" spans="1:25" x14ac:dyDescent="0.3">
      <c r="A62" t="s">
        <v>169</v>
      </c>
      <c r="B62" t="s">
        <v>166</v>
      </c>
      <c r="C62" t="s">
        <v>167</v>
      </c>
      <c r="D62" t="s">
        <v>168</v>
      </c>
      <c r="E62" t="s">
        <v>83</v>
      </c>
      <c r="G62">
        <v>192</v>
      </c>
      <c r="H62">
        <v>192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Y62">
        <f t="shared" si="1"/>
        <v>88</v>
      </c>
    </row>
    <row r="63" spans="1:25" x14ac:dyDescent="0.3">
      <c r="A63" t="s">
        <v>170</v>
      </c>
      <c r="B63" t="s">
        <v>88</v>
      </c>
      <c r="C63" t="s">
        <v>87</v>
      </c>
      <c r="D63" t="s">
        <v>89</v>
      </c>
      <c r="E63" t="s">
        <v>83</v>
      </c>
      <c r="G63">
        <v>1240</v>
      </c>
      <c r="H63">
        <v>360</v>
      </c>
      <c r="I63">
        <v>0</v>
      </c>
      <c r="J63">
        <v>1024</v>
      </c>
      <c r="K63">
        <v>2524</v>
      </c>
      <c r="L63">
        <v>2320</v>
      </c>
      <c r="M63">
        <v>2046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Y63">
        <f t="shared" si="1"/>
        <v>67040</v>
      </c>
    </row>
    <row r="64" spans="1:25" x14ac:dyDescent="0.3">
      <c r="A64" t="s">
        <v>171</v>
      </c>
      <c r="C64" t="s">
        <v>171</v>
      </c>
      <c r="E64" t="s">
        <v>83</v>
      </c>
      <c r="U64">
        <v>3148</v>
      </c>
      <c r="V64">
        <v>3148</v>
      </c>
      <c r="W64">
        <v>11464</v>
      </c>
      <c r="X64">
        <v>6460</v>
      </c>
      <c r="Y64">
        <f t="shared" si="1"/>
        <v>24</v>
      </c>
    </row>
    <row r="65" spans="1:25" x14ac:dyDescent="0.3">
      <c r="A65" t="s">
        <v>172</v>
      </c>
      <c r="C65" t="s">
        <v>172</v>
      </c>
      <c r="E65" t="s">
        <v>83</v>
      </c>
      <c r="U65">
        <v>8064</v>
      </c>
      <c r="V65">
        <v>8064</v>
      </c>
      <c r="W65">
        <v>17136</v>
      </c>
      <c r="X65">
        <v>9072</v>
      </c>
      <c r="Y65">
        <f t="shared" si="1"/>
        <v>16996</v>
      </c>
    </row>
    <row r="66" spans="1:25" x14ac:dyDescent="0.3">
      <c r="A66" t="s">
        <v>173</v>
      </c>
      <c r="C66" t="s">
        <v>173</v>
      </c>
      <c r="E66" t="s">
        <v>49</v>
      </c>
      <c r="U66">
        <v>4092</v>
      </c>
      <c r="V66">
        <v>4092</v>
      </c>
      <c r="W66">
        <v>8628</v>
      </c>
      <c r="X66">
        <v>4760</v>
      </c>
      <c r="Y66">
        <f t="shared" si="1"/>
        <v>384</v>
      </c>
    </row>
    <row r="67" spans="1:25" x14ac:dyDescent="0.3">
      <c r="A67" t="s">
        <v>174</v>
      </c>
      <c r="C67" t="s">
        <v>174</v>
      </c>
      <c r="E67" t="s">
        <v>49</v>
      </c>
      <c r="U67">
        <v>200</v>
      </c>
      <c r="V67">
        <v>200</v>
      </c>
      <c r="W67">
        <v>398</v>
      </c>
      <c r="X67">
        <v>230</v>
      </c>
      <c r="Y67">
        <f t="shared" si="1"/>
        <v>9514</v>
      </c>
    </row>
    <row r="68" spans="1:25" x14ac:dyDescent="0.3">
      <c r="A68" t="s">
        <v>175</v>
      </c>
      <c r="C68" t="s">
        <v>175</v>
      </c>
      <c r="E68" t="s">
        <v>49</v>
      </c>
      <c r="U68">
        <v>5164</v>
      </c>
      <c r="V68">
        <v>5164</v>
      </c>
      <c r="W68">
        <v>15748</v>
      </c>
      <c r="X68">
        <v>8468</v>
      </c>
      <c r="Y68">
        <f t="shared" si="1"/>
        <v>17760</v>
      </c>
    </row>
    <row r="69" spans="1:25" x14ac:dyDescent="0.3">
      <c r="A69" t="s">
        <v>176</v>
      </c>
      <c r="C69" t="s">
        <v>176</v>
      </c>
      <c r="E69" t="s">
        <v>49</v>
      </c>
      <c r="U69">
        <v>16128</v>
      </c>
      <c r="Y69">
        <f t="shared" si="1"/>
        <v>33264</v>
      </c>
    </row>
    <row r="70" spans="1:25" x14ac:dyDescent="0.3">
      <c r="A70" t="s">
        <v>177</v>
      </c>
      <c r="C70" t="s">
        <v>177</v>
      </c>
      <c r="E70" t="s">
        <v>49</v>
      </c>
      <c r="U70">
        <v>30</v>
      </c>
      <c r="V70">
        <v>30</v>
      </c>
      <c r="W70">
        <v>30</v>
      </c>
      <c r="X70">
        <v>112</v>
      </c>
      <c r="Y70">
        <f t="shared" si="1"/>
        <v>16812</v>
      </c>
    </row>
    <row r="71" spans="1:25" x14ac:dyDescent="0.3">
      <c r="A71" t="s">
        <v>178</v>
      </c>
      <c r="C71" t="s">
        <v>178</v>
      </c>
      <c r="E71" t="s">
        <v>49</v>
      </c>
      <c r="U71">
        <v>184</v>
      </c>
      <c r="V71">
        <v>184</v>
      </c>
      <c r="W71">
        <v>382</v>
      </c>
      <c r="X71">
        <v>214</v>
      </c>
      <c r="Y71">
        <f t="shared" si="1"/>
        <v>798</v>
      </c>
    </row>
    <row r="72" spans="1:25" x14ac:dyDescent="0.3">
      <c r="A72" t="s">
        <v>179</v>
      </c>
      <c r="C72" t="s">
        <v>179</v>
      </c>
      <c r="E72" t="s">
        <v>49</v>
      </c>
      <c r="U72">
        <v>16128</v>
      </c>
      <c r="V72">
        <v>16128</v>
      </c>
      <c r="W72">
        <v>34272</v>
      </c>
      <c r="X72">
        <v>18144</v>
      </c>
      <c r="Y72">
        <f t="shared" si="1"/>
        <v>26076</v>
      </c>
    </row>
    <row r="73" spans="1:25" x14ac:dyDescent="0.3">
      <c r="A73" t="s">
        <v>180</v>
      </c>
      <c r="B73" t="s">
        <v>181</v>
      </c>
      <c r="E73" t="s">
        <v>49</v>
      </c>
      <c r="G73">
        <v>96</v>
      </c>
      <c r="H73">
        <v>192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>
        <f t="shared" ref="Y73:Y104" si="2">SUM(F69:W69)</f>
        <v>16128</v>
      </c>
    </row>
    <row r="74" spans="1:25" x14ac:dyDescent="0.3">
      <c r="A74" t="s">
        <v>182</v>
      </c>
      <c r="C74" t="s">
        <v>182</v>
      </c>
      <c r="E74" t="s">
        <v>96</v>
      </c>
      <c r="U74">
        <v>56</v>
      </c>
      <c r="V74">
        <v>56</v>
      </c>
      <c r="W74">
        <v>100</v>
      </c>
      <c r="X74">
        <v>64</v>
      </c>
      <c r="Y74">
        <f t="shared" si="2"/>
        <v>90</v>
      </c>
    </row>
    <row r="75" spans="1:25" x14ac:dyDescent="0.3">
      <c r="A75" t="s">
        <v>183</v>
      </c>
      <c r="B75" t="s">
        <v>184</v>
      </c>
      <c r="E75" t="s">
        <v>111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Y75">
        <f t="shared" si="2"/>
        <v>750</v>
      </c>
    </row>
    <row r="76" spans="1:25" x14ac:dyDescent="0.3">
      <c r="A76" t="s">
        <v>185</v>
      </c>
      <c r="C76" t="s">
        <v>185</v>
      </c>
      <c r="E76" t="s">
        <v>96</v>
      </c>
      <c r="U76">
        <v>2</v>
      </c>
      <c r="V76">
        <v>2</v>
      </c>
      <c r="W76">
        <v>2</v>
      </c>
      <c r="X76">
        <v>2</v>
      </c>
      <c r="Y76">
        <f t="shared" si="2"/>
        <v>66528</v>
      </c>
    </row>
    <row r="77" spans="1:25" x14ac:dyDescent="0.3">
      <c r="A77" t="s">
        <v>186</v>
      </c>
      <c r="C77" t="s">
        <v>186</v>
      </c>
      <c r="E77" t="s">
        <v>96</v>
      </c>
      <c r="U77">
        <v>192</v>
      </c>
      <c r="V77">
        <v>96</v>
      </c>
      <c r="W77">
        <v>208</v>
      </c>
      <c r="X77">
        <v>144</v>
      </c>
      <c r="Y77">
        <f t="shared" si="2"/>
        <v>288</v>
      </c>
    </row>
    <row r="78" spans="1:25" x14ac:dyDescent="0.3">
      <c r="A78" t="s">
        <v>187</v>
      </c>
      <c r="C78" t="s">
        <v>187</v>
      </c>
      <c r="E78" t="s">
        <v>96</v>
      </c>
      <c r="U78">
        <v>4</v>
      </c>
      <c r="V78">
        <v>4</v>
      </c>
      <c r="W78">
        <v>4</v>
      </c>
      <c r="X78">
        <v>4</v>
      </c>
      <c r="Y78">
        <f t="shared" si="2"/>
        <v>212</v>
      </c>
    </row>
    <row r="79" spans="1:25" x14ac:dyDescent="0.3">
      <c r="A79" t="s">
        <v>188</v>
      </c>
      <c r="B79" t="s">
        <v>189</v>
      </c>
      <c r="E79" t="s">
        <v>49</v>
      </c>
      <c r="G79">
        <v>20</v>
      </c>
      <c r="H79">
        <v>195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>
        <f t="shared" si="2"/>
        <v>2</v>
      </c>
    </row>
    <row r="80" spans="1:25" x14ac:dyDescent="0.3">
      <c r="A80" t="s">
        <v>190</v>
      </c>
      <c r="C80" t="s">
        <v>190</v>
      </c>
      <c r="E80" t="s">
        <v>96</v>
      </c>
      <c r="U80">
        <v>90</v>
      </c>
      <c r="V80">
        <v>90</v>
      </c>
      <c r="W80">
        <v>187</v>
      </c>
      <c r="X80">
        <v>115</v>
      </c>
      <c r="Y80">
        <f t="shared" si="2"/>
        <v>6</v>
      </c>
    </row>
    <row r="81" spans="1:25" x14ac:dyDescent="0.3">
      <c r="A81" t="s">
        <v>191</v>
      </c>
      <c r="C81" t="s">
        <v>191</v>
      </c>
      <c r="E81" t="s">
        <v>96</v>
      </c>
      <c r="U81">
        <v>24</v>
      </c>
      <c r="V81">
        <v>24</v>
      </c>
      <c r="W81">
        <v>42</v>
      </c>
      <c r="X81">
        <v>26</v>
      </c>
      <c r="Y81">
        <f t="shared" si="2"/>
        <v>496</v>
      </c>
    </row>
    <row r="82" spans="1:25" x14ac:dyDescent="0.3">
      <c r="A82" t="s">
        <v>192</v>
      </c>
      <c r="C82" t="s">
        <v>192</v>
      </c>
      <c r="E82" t="s">
        <v>96</v>
      </c>
      <c r="U82">
        <v>86</v>
      </c>
      <c r="V82">
        <v>86</v>
      </c>
      <c r="W82">
        <v>230</v>
      </c>
      <c r="X82">
        <v>134</v>
      </c>
      <c r="Y82">
        <f t="shared" si="2"/>
        <v>12</v>
      </c>
    </row>
    <row r="83" spans="1:25" x14ac:dyDescent="0.3">
      <c r="A83" t="s">
        <v>193</v>
      </c>
      <c r="C83" t="s">
        <v>193</v>
      </c>
      <c r="E83" t="s">
        <v>54</v>
      </c>
      <c r="V83">
        <v>96</v>
      </c>
      <c r="W83">
        <v>208</v>
      </c>
      <c r="X83">
        <v>144</v>
      </c>
      <c r="Y83">
        <f t="shared" si="2"/>
        <v>215</v>
      </c>
    </row>
    <row r="84" spans="1:25" x14ac:dyDescent="0.3">
      <c r="A84" t="s">
        <v>194</v>
      </c>
      <c r="C84" t="s">
        <v>194</v>
      </c>
      <c r="E84" t="s">
        <v>54</v>
      </c>
      <c r="U84">
        <v>384</v>
      </c>
      <c r="Y84">
        <f t="shared" si="2"/>
        <v>367</v>
      </c>
    </row>
    <row r="85" spans="1:25" x14ac:dyDescent="0.3">
      <c r="A85" t="s">
        <v>195</v>
      </c>
      <c r="B85" t="s">
        <v>196</v>
      </c>
      <c r="E85" t="s">
        <v>111</v>
      </c>
      <c r="G85">
        <v>0</v>
      </c>
      <c r="H85">
        <v>0</v>
      </c>
      <c r="I85">
        <v>144</v>
      </c>
      <c r="J85">
        <v>0</v>
      </c>
      <c r="K85">
        <v>18288</v>
      </c>
      <c r="L85">
        <v>0</v>
      </c>
      <c r="M85">
        <v>7560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>
        <f t="shared" si="2"/>
        <v>90</v>
      </c>
    </row>
    <row r="86" spans="1:25" x14ac:dyDescent="0.3">
      <c r="A86" t="s">
        <v>197</v>
      </c>
      <c r="C86" t="s">
        <v>197</v>
      </c>
      <c r="E86" t="s">
        <v>96</v>
      </c>
      <c r="U86">
        <v>32</v>
      </c>
      <c r="Y86">
        <f t="shared" si="2"/>
        <v>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6"/>
  <sheetViews>
    <sheetView tabSelected="1" topLeftCell="O1" workbookViewId="0">
      <selection activeCell="P1" sqref="P1"/>
    </sheetView>
  </sheetViews>
  <sheetFormatPr defaultRowHeight="14.4" x14ac:dyDescent="0.3"/>
  <cols>
    <col min="1" max="24" width="20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25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3">
      <c r="A3" t="s">
        <v>29</v>
      </c>
      <c r="G3" t="s">
        <v>30</v>
      </c>
      <c r="H3" t="s">
        <v>30</v>
      </c>
      <c r="I3" t="s">
        <v>31</v>
      </c>
      <c r="J3" t="s">
        <v>32</v>
      </c>
      <c r="K3" t="s">
        <v>32</v>
      </c>
      <c r="L3" t="s">
        <v>30</v>
      </c>
      <c r="M3" t="s">
        <v>30</v>
      </c>
      <c r="N3" t="s">
        <v>30</v>
      </c>
      <c r="O3" t="s">
        <v>30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38</v>
      </c>
      <c r="W3" t="s">
        <v>39</v>
      </c>
      <c r="X3" t="s">
        <v>40</v>
      </c>
      <c r="Y3" t="s">
        <v>41</v>
      </c>
    </row>
    <row r="4" spans="1:25" x14ac:dyDescent="0.3">
      <c r="A4" t="s">
        <v>42</v>
      </c>
    </row>
    <row r="5" spans="1:25" x14ac:dyDescent="0.3">
      <c r="A5" t="s">
        <v>43</v>
      </c>
    </row>
    <row r="6" spans="1:25" x14ac:dyDescent="0.3">
      <c r="A6" t="s">
        <v>44</v>
      </c>
    </row>
    <row r="7" spans="1:25" x14ac:dyDescent="0.3">
      <c r="A7" t="s">
        <v>45</v>
      </c>
    </row>
    <row r="8" spans="1:25" x14ac:dyDescent="0.3">
      <c r="A8" t="s">
        <v>46</v>
      </c>
    </row>
    <row r="9" spans="1:25" x14ac:dyDescent="0.3">
      <c r="A9" t="s">
        <v>47</v>
      </c>
      <c r="B9" t="s">
        <v>48</v>
      </c>
      <c r="E9" t="s">
        <v>49</v>
      </c>
      <c r="G9">
        <v>92</v>
      </c>
      <c r="H9">
        <v>0</v>
      </c>
      <c r="I9">
        <v>0</v>
      </c>
      <c r="J9">
        <v>16</v>
      </c>
      <c r="K9">
        <v>360</v>
      </c>
      <c r="L9">
        <v>32</v>
      </c>
      <c r="M9">
        <v>128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Y9">
        <f t="shared" ref="Y9:Y40" si="0">SUM(F5:W5)</f>
        <v>0</v>
      </c>
    </row>
    <row r="10" spans="1:25" x14ac:dyDescent="0.3">
      <c r="A10" t="s">
        <v>51</v>
      </c>
      <c r="B10" t="s">
        <v>52</v>
      </c>
      <c r="C10" t="s">
        <v>51</v>
      </c>
      <c r="D10" t="s">
        <v>53</v>
      </c>
      <c r="E10" t="s">
        <v>54</v>
      </c>
      <c r="G10">
        <v>0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Y10">
        <f t="shared" si="0"/>
        <v>0</v>
      </c>
    </row>
    <row r="11" spans="1:25" x14ac:dyDescent="0.3">
      <c r="A11" t="s">
        <v>56</v>
      </c>
      <c r="B11" t="s">
        <v>57</v>
      </c>
      <c r="C11" t="s">
        <v>58</v>
      </c>
      <c r="D11" t="s">
        <v>59</v>
      </c>
      <c r="E11" t="s">
        <v>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205</v>
      </c>
      <c r="O11">
        <v>198</v>
      </c>
      <c r="P11">
        <v>0</v>
      </c>
      <c r="Q11">
        <v>0</v>
      </c>
      <c r="R11">
        <v>0</v>
      </c>
      <c r="S11">
        <v>0</v>
      </c>
      <c r="T11">
        <v>0</v>
      </c>
      <c r="Y11">
        <f t="shared" si="0"/>
        <v>0</v>
      </c>
    </row>
    <row r="12" spans="1:25" x14ac:dyDescent="0.3">
      <c r="A12" t="s">
        <v>60</v>
      </c>
      <c r="B12" t="s">
        <v>61</v>
      </c>
      <c r="C12" t="s">
        <v>60</v>
      </c>
      <c r="D12" t="s">
        <v>62</v>
      </c>
      <c r="E12" t="s">
        <v>54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116</v>
      </c>
      <c r="Q12">
        <v>160</v>
      </c>
      <c r="R12">
        <v>764</v>
      </c>
      <c r="S12">
        <v>764</v>
      </c>
      <c r="T12">
        <v>52</v>
      </c>
      <c r="Y12">
        <f t="shared" si="0"/>
        <v>0</v>
      </c>
    </row>
    <row r="13" spans="1:25" x14ac:dyDescent="0.3">
      <c r="A13" t="s">
        <v>63</v>
      </c>
      <c r="B13" t="s">
        <v>64</v>
      </c>
      <c r="C13" t="s">
        <v>60</v>
      </c>
      <c r="D13" t="s">
        <v>62</v>
      </c>
      <c r="E13" t="s">
        <v>54</v>
      </c>
      <c r="G13">
        <v>0</v>
      </c>
      <c r="H13">
        <v>0</v>
      </c>
      <c r="I13">
        <v>8</v>
      </c>
      <c r="J13">
        <v>21</v>
      </c>
      <c r="K13">
        <v>92</v>
      </c>
      <c r="L13">
        <v>28</v>
      </c>
      <c r="M13">
        <v>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Y13">
        <f t="shared" si="0"/>
        <v>628</v>
      </c>
    </row>
    <row r="14" spans="1:25" x14ac:dyDescent="0.3">
      <c r="A14" t="s">
        <v>65</v>
      </c>
      <c r="B14" t="s">
        <v>66</v>
      </c>
      <c r="C14" t="s">
        <v>65</v>
      </c>
      <c r="D14" t="s">
        <v>67</v>
      </c>
      <c r="E14" t="s">
        <v>54</v>
      </c>
      <c r="G14">
        <v>2</v>
      </c>
      <c r="H14">
        <v>4</v>
      </c>
      <c r="I14">
        <v>1</v>
      </c>
      <c r="J14">
        <v>0</v>
      </c>
      <c r="K14">
        <v>0</v>
      </c>
      <c r="L14">
        <v>0</v>
      </c>
      <c r="M14">
        <v>0</v>
      </c>
      <c r="N14">
        <v>4</v>
      </c>
      <c r="O14">
        <v>4</v>
      </c>
      <c r="P14">
        <v>6</v>
      </c>
      <c r="Q14">
        <v>6</v>
      </c>
      <c r="R14">
        <v>8</v>
      </c>
      <c r="S14">
        <v>8</v>
      </c>
      <c r="T14">
        <v>6</v>
      </c>
      <c r="Y14">
        <f t="shared" si="0"/>
        <v>4</v>
      </c>
    </row>
    <row r="15" spans="1:25" x14ac:dyDescent="0.3">
      <c r="A15" t="s">
        <v>69</v>
      </c>
      <c r="B15" t="s">
        <v>70</v>
      </c>
      <c r="C15" t="s">
        <v>69</v>
      </c>
      <c r="E15" t="s">
        <v>54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42</v>
      </c>
      <c r="Q15">
        <v>64</v>
      </c>
      <c r="R15">
        <v>256</v>
      </c>
      <c r="S15">
        <v>256</v>
      </c>
      <c r="T15">
        <v>18</v>
      </c>
      <c r="Y15">
        <f t="shared" si="0"/>
        <v>403</v>
      </c>
    </row>
    <row r="16" spans="1:25" x14ac:dyDescent="0.3">
      <c r="A16" t="s">
        <v>71</v>
      </c>
      <c r="B16" t="s">
        <v>72</v>
      </c>
      <c r="C16" t="s">
        <v>71</v>
      </c>
      <c r="D16" t="s">
        <v>73</v>
      </c>
      <c r="E16" t="s">
        <v>54</v>
      </c>
      <c r="G16">
        <v>46</v>
      </c>
      <c r="H16">
        <v>428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2</v>
      </c>
      <c r="R16">
        <v>2</v>
      </c>
      <c r="S16">
        <v>2</v>
      </c>
      <c r="T16">
        <v>2</v>
      </c>
      <c r="Y16">
        <f t="shared" si="0"/>
        <v>1856</v>
      </c>
    </row>
    <row r="17" spans="1:25" x14ac:dyDescent="0.3">
      <c r="A17" t="s">
        <v>74</v>
      </c>
      <c r="B17" t="s">
        <v>75</v>
      </c>
      <c r="C17" t="s">
        <v>74</v>
      </c>
      <c r="D17" t="s">
        <v>76</v>
      </c>
      <c r="E17" t="s">
        <v>54</v>
      </c>
      <c r="G17">
        <v>0</v>
      </c>
      <c r="H17">
        <v>0</v>
      </c>
      <c r="I17">
        <v>0</v>
      </c>
      <c r="J17">
        <v>70</v>
      </c>
      <c r="K17">
        <v>338</v>
      </c>
      <c r="L17">
        <v>94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Y17">
        <f t="shared" si="0"/>
        <v>224</v>
      </c>
    </row>
    <row r="18" spans="1:25" x14ac:dyDescent="0.3">
      <c r="A18" t="s">
        <v>77</v>
      </c>
      <c r="B18" t="s">
        <v>78</v>
      </c>
      <c r="C18" t="s">
        <v>77</v>
      </c>
      <c r="D18" t="s">
        <v>79</v>
      </c>
      <c r="E18" t="s">
        <v>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1176</v>
      </c>
      <c r="Q18">
        <v>1528</v>
      </c>
      <c r="R18">
        <v>6112</v>
      </c>
      <c r="S18">
        <v>6112</v>
      </c>
      <c r="T18">
        <v>544</v>
      </c>
      <c r="Y18">
        <f t="shared" si="0"/>
        <v>49</v>
      </c>
    </row>
    <row r="19" spans="1:25" x14ac:dyDescent="0.3">
      <c r="A19" t="s">
        <v>80</v>
      </c>
      <c r="B19" t="s">
        <v>81</v>
      </c>
      <c r="C19" t="s">
        <v>80</v>
      </c>
      <c r="D19" t="s">
        <v>82</v>
      </c>
      <c r="E19" t="s">
        <v>83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1502</v>
      </c>
      <c r="Q19">
        <v>2250</v>
      </c>
      <c r="R19">
        <v>9222</v>
      </c>
      <c r="S19">
        <v>9222</v>
      </c>
      <c r="T19">
        <v>654</v>
      </c>
      <c r="Y19">
        <f t="shared" si="0"/>
        <v>636</v>
      </c>
    </row>
    <row r="20" spans="1:25" x14ac:dyDescent="0.3">
      <c r="A20" t="s">
        <v>84</v>
      </c>
      <c r="B20" t="s">
        <v>85</v>
      </c>
      <c r="C20" t="s">
        <v>84</v>
      </c>
      <c r="D20" t="s">
        <v>86</v>
      </c>
      <c r="E20" t="s">
        <v>83</v>
      </c>
      <c r="G20">
        <v>48</v>
      </c>
      <c r="H20">
        <v>32</v>
      </c>
      <c r="I20">
        <v>24</v>
      </c>
      <c r="J20">
        <v>0</v>
      </c>
      <c r="K20">
        <v>0</v>
      </c>
      <c r="L20">
        <v>0</v>
      </c>
      <c r="M20">
        <v>0</v>
      </c>
      <c r="N20">
        <v>16</v>
      </c>
      <c r="O20">
        <v>16</v>
      </c>
      <c r="P20">
        <v>67</v>
      </c>
      <c r="Q20">
        <v>89</v>
      </c>
      <c r="R20">
        <v>2183</v>
      </c>
      <c r="S20">
        <v>2183</v>
      </c>
      <c r="T20">
        <v>152</v>
      </c>
      <c r="Y20">
        <f t="shared" si="0"/>
        <v>484</v>
      </c>
    </row>
    <row r="21" spans="1:25" x14ac:dyDescent="0.3">
      <c r="A21" t="s">
        <v>87</v>
      </c>
      <c r="B21" t="s">
        <v>88</v>
      </c>
      <c r="C21" t="s">
        <v>87</v>
      </c>
      <c r="D21" t="s">
        <v>89</v>
      </c>
      <c r="E21" t="s">
        <v>83</v>
      </c>
      <c r="G21">
        <v>0</v>
      </c>
      <c r="H21">
        <v>0</v>
      </c>
      <c r="I21">
        <v>20</v>
      </c>
      <c r="J21">
        <v>0</v>
      </c>
      <c r="K21">
        <v>0</v>
      </c>
      <c r="L21">
        <v>0</v>
      </c>
      <c r="M21">
        <v>0</v>
      </c>
      <c r="N21">
        <v>792</v>
      </c>
      <c r="O21">
        <v>840</v>
      </c>
      <c r="P21">
        <v>16</v>
      </c>
      <c r="Q21">
        <v>21</v>
      </c>
      <c r="R21">
        <v>70</v>
      </c>
      <c r="S21">
        <v>70</v>
      </c>
      <c r="T21">
        <v>10</v>
      </c>
      <c r="Y21">
        <f t="shared" si="0"/>
        <v>782</v>
      </c>
    </row>
    <row r="22" spans="1:25" x14ac:dyDescent="0.3">
      <c r="A22" t="s">
        <v>90</v>
      </c>
      <c r="B22" t="s">
        <v>91</v>
      </c>
      <c r="C22" t="s">
        <v>90</v>
      </c>
      <c r="D22" t="s">
        <v>92</v>
      </c>
      <c r="E22" t="s">
        <v>83</v>
      </c>
      <c r="G22">
        <v>0</v>
      </c>
      <c r="H22">
        <v>0</v>
      </c>
      <c r="I22">
        <v>288</v>
      </c>
      <c r="J22">
        <v>0</v>
      </c>
      <c r="K22">
        <v>54432</v>
      </c>
      <c r="L22">
        <v>15120</v>
      </c>
      <c r="M22">
        <v>30240</v>
      </c>
      <c r="N22">
        <v>0</v>
      </c>
      <c r="O22">
        <v>0</v>
      </c>
      <c r="P22">
        <v>84672</v>
      </c>
      <c r="Q22">
        <v>129024</v>
      </c>
      <c r="R22">
        <v>516096</v>
      </c>
      <c r="S22">
        <v>516096</v>
      </c>
      <c r="T22">
        <v>27360</v>
      </c>
      <c r="Y22">
        <f t="shared" si="0"/>
        <v>15472</v>
      </c>
    </row>
    <row r="23" spans="1:25" x14ac:dyDescent="0.3">
      <c r="A23" t="s">
        <v>93</v>
      </c>
      <c r="B23" t="s">
        <v>94</v>
      </c>
      <c r="E23" t="s">
        <v>49</v>
      </c>
      <c r="G23">
        <v>0</v>
      </c>
      <c r="H23">
        <v>0</v>
      </c>
      <c r="I23">
        <v>12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>
        <f t="shared" si="0"/>
        <v>22850</v>
      </c>
    </row>
    <row r="24" spans="1:25" x14ac:dyDescent="0.3">
      <c r="A24" t="s">
        <v>95</v>
      </c>
      <c r="C24" t="s">
        <v>95</v>
      </c>
      <c r="E24" t="s">
        <v>96</v>
      </c>
      <c r="U24">
        <v>28</v>
      </c>
      <c r="V24">
        <v>28</v>
      </c>
      <c r="W24">
        <v>50</v>
      </c>
      <c r="X24">
        <v>32</v>
      </c>
      <c r="Y24">
        <f t="shared" si="0"/>
        <v>4810</v>
      </c>
    </row>
    <row r="25" spans="1:25" x14ac:dyDescent="0.3">
      <c r="A25" t="s">
        <v>98</v>
      </c>
      <c r="B25" t="s">
        <v>99</v>
      </c>
      <c r="E25" t="s">
        <v>83</v>
      </c>
      <c r="G25">
        <v>176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188</v>
      </c>
      <c r="P25">
        <v>0</v>
      </c>
      <c r="Q25">
        <v>0</v>
      </c>
      <c r="R25">
        <v>0</v>
      </c>
      <c r="S25">
        <v>0</v>
      </c>
      <c r="T25">
        <v>0</v>
      </c>
      <c r="Y25">
        <f t="shared" si="0"/>
        <v>1839</v>
      </c>
    </row>
    <row r="26" spans="1:25" x14ac:dyDescent="0.3">
      <c r="A26" t="s">
        <v>100</v>
      </c>
      <c r="C26" t="s">
        <v>100</v>
      </c>
      <c r="E26" t="s">
        <v>96</v>
      </c>
      <c r="U26">
        <v>4048</v>
      </c>
      <c r="V26">
        <v>4048</v>
      </c>
      <c r="W26">
        <v>8510</v>
      </c>
      <c r="X26">
        <v>5198</v>
      </c>
      <c r="Y26">
        <f t="shared" si="0"/>
        <v>1373328</v>
      </c>
    </row>
    <row r="27" spans="1:25" x14ac:dyDescent="0.3">
      <c r="A27" t="s">
        <v>101</v>
      </c>
      <c r="C27" t="s">
        <v>101</v>
      </c>
      <c r="E27" t="s">
        <v>96</v>
      </c>
      <c r="U27">
        <v>10304</v>
      </c>
      <c r="V27">
        <v>10304</v>
      </c>
      <c r="W27">
        <v>21896</v>
      </c>
      <c r="X27">
        <v>11592</v>
      </c>
      <c r="Y27">
        <f t="shared" si="0"/>
        <v>12</v>
      </c>
    </row>
    <row r="28" spans="1:25" x14ac:dyDescent="0.3">
      <c r="A28" t="s">
        <v>102</v>
      </c>
      <c r="B28" t="s">
        <v>103</v>
      </c>
      <c r="E28" t="s">
        <v>49</v>
      </c>
      <c r="G28">
        <v>0</v>
      </c>
      <c r="H28">
        <v>0</v>
      </c>
      <c r="I28">
        <v>32</v>
      </c>
      <c r="J28">
        <v>0</v>
      </c>
      <c r="K28">
        <v>864</v>
      </c>
      <c r="L28">
        <v>256</v>
      </c>
      <c r="M28">
        <v>480</v>
      </c>
      <c r="N28">
        <v>242</v>
      </c>
      <c r="O28">
        <v>234</v>
      </c>
      <c r="P28">
        <v>0</v>
      </c>
      <c r="Q28">
        <v>0</v>
      </c>
      <c r="R28">
        <v>0</v>
      </c>
      <c r="S28">
        <v>0</v>
      </c>
      <c r="T28">
        <v>0</v>
      </c>
      <c r="Y28">
        <f t="shared" si="0"/>
        <v>106</v>
      </c>
    </row>
    <row r="29" spans="1:25" x14ac:dyDescent="0.3">
      <c r="A29" t="s">
        <v>104</v>
      </c>
      <c r="B29" t="s">
        <v>105</v>
      </c>
      <c r="E29" t="s">
        <v>83</v>
      </c>
      <c r="G29">
        <v>0</v>
      </c>
      <c r="H29">
        <v>0</v>
      </c>
      <c r="I29">
        <v>0</v>
      </c>
      <c r="J29">
        <v>0</v>
      </c>
      <c r="K29">
        <v>24</v>
      </c>
      <c r="L29">
        <v>8</v>
      </c>
      <c r="M29">
        <v>24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Y29">
        <f t="shared" si="0"/>
        <v>364</v>
      </c>
    </row>
    <row r="30" spans="1:25" x14ac:dyDescent="0.3">
      <c r="A30" t="s">
        <v>106</v>
      </c>
      <c r="B30" t="s">
        <v>107</v>
      </c>
      <c r="E30" t="s">
        <v>49</v>
      </c>
      <c r="G30">
        <v>12</v>
      </c>
      <c r="H30">
        <v>24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8</v>
      </c>
      <c r="P30">
        <v>0</v>
      </c>
      <c r="Q30">
        <v>0</v>
      </c>
      <c r="R30">
        <v>0</v>
      </c>
      <c r="S30">
        <v>0</v>
      </c>
      <c r="T30">
        <v>0</v>
      </c>
      <c r="Y30">
        <f t="shared" si="0"/>
        <v>16606</v>
      </c>
    </row>
    <row r="31" spans="1:25" x14ac:dyDescent="0.3">
      <c r="A31" t="s">
        <v>108</v>
      </c>
      <c r="C31" t="s">
        <v>108</v>
      </c>
      <c r="E31" t="s">
        <v>96</v>
      </c>
      <c r="U31">
        <v>48</v>
      </c>
      <c r="V31">
        <v>24</v>
      </c>
      <c r="W31">
        <v>52</v>
      </c>
      <c r="X31">
        <v>36</v>
      </c>
      <c r="Y31">
        <f t="shared" si="0"/>
        <v>42504</v>
      </c>
    </row>
    <row r="32" spans="1:25" x14ac:dyDescent="0.3">
      <c r="A32" t="s">
        <v>109</v>
      </c>
      <c r="B32" t="s">
        <v>110</v>
      </c>
      <c r="E32" t="s">
        <v>111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>
        <f t="shared" si="0"/>
        <v>2108</v>
      </c>
    </row>
    <row r="33" spans="1:25" x14ac:dyDescent="0.3">
      <c r="A33" t="s">
        <v>113</v>
      </c>
      <c r="E33" t="s">
        <v>49</v>
      </c>
      <c r="G33">
        <v>0</v>
      </c>
      <c r="H33">
        <v>0</v>
      </c>
      <c r="I33">
        <v>0</v>
      </c>
      <c r="J33">
        <v>0</v>
      </c>
      <c r="K33">
        <v>72576</v>
      </c>
      <c r="L33">
        <v>0</v>
      </c>
      <c r="M33">
        <v>30240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Y33">
        <f t="shared" si="0"/>
        <v>56</v>
      </c>
    </row>
    <row r="34" spans="1:25" x14ac:dyDescent="0.3">
      <c r="A34" t="s">
        <v>114</v>
      </c>
      <c r="B34" t="s">
        <v>115</v>
      </c>
      <c r="E34" t="s">
        <v>49</v>
      </c>
      <c r="G34">
        <v>0</v>
      </c>
      <c r="H34">
        <v>0</v>
      </c>
      <c r="I34">
        <v>576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Y34">
        <f t="shared" si="0"/>
        <v>52</v>
      </c>
    </row>
    <row r="35" spans="1:25" x14ac:dyDescent="0.3">
      <c r="A35" t="s">
        <v>116</v>
      </c>
      <c r="C35" t="s">
        <v>116</v>
      </c>
      <c r="E35" t="s">
        <v>111</v>
      </c>
      <c r="U35">
        <v>256</v>
      </c>
      <c r="Y35">
        <f t="shared" si="0"/>
        <v>124</v>
      </c>
    </row>
    <row r="36" spans="1:25" x14ac:dyDescent="0.3">
      <c r="A36" t="s">
        <v>117</v>
      </c>
      <c r="C36" t="s">
        <v>117</v>
      </c>
      <c r="E36" t="s">
        <v>111</v>
      </c>
      <c r="U36">
        <v>8</v>
      </c>
      <c r="Y36">
        <f t="shared" si="0"/>
        <v>16</v>
      </c>
    </row>
    <row r="37" spans="1:25" x14ac:dyDescent="0.3">
      <c r="A37" t="s">
        <v>118</v>
      </c>
      <c r="C37" t="s">
        <v>118</v>
      </c>
      <c r="E37" t="s">
        <v>111</v>
      </c>
      <c r="U37">
        <v>4032</v>
      </c>
      <c r="Y37">
        <f t="shared" si="0"/>
        <v>102816</v>
      </c>
    </row>
    <row r="38" spans="1:25" x14ac:dyDescent="0.3">
      <c r="A38" t="s">
        <v>119</v>
      </c>
      <c r="C38" t="s">
        <v>119</v>
      </c>
      <c r="E38" t="s">
        <v>111</v>
      </c>
      <c r="U38">
        <v>126</v>
      </c>
      <c r="Y38">
        <f t="shared" si="0"/>
        <v>576</v>
      </c>
    </row>
    <row r="39" spans="1:25" x14ac:dyDescent="0.3">
      <c r="A39" t="s">
        <v>120</v>
      </c>
      <c r="B39" t="s">
        <v>121</v>
      </c>
      <c r="C39" t="s">
        <v>120</v>
      </c>
      <c r="E39" t="s">
        <v>111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3584</v>
      </c>
      <c r="S39">
        <v>3584</v>
      </c>
      <c r="T39">
        <v>0</v>
      </c>
      <c r="Y39">
        <f t="shared" si="0"/>
        <v>256</v>
      </c>
    </row>
    <row r="40" spans="1:25" x14ac:dyDescent="0.3">
      <c r="A40" t="s">
        <v>122</v>
      </c>
      <c r="B40" t="s">
        <v>123</v>
      </c>
      <c r="E40" t="s">
        <v>49</v>
      </c>
      <c r="G40">
        <v>0</v>
      </c>
      <c r="H40">
        <v>4</v>
      </c>
      <c r="I40">
        <v>4</v>
      </c>
      <c r="J40">
        <v>4</v>
      </c>
      <c r="K40">
        <v>512</v>
      </c>
      <c r="L40">
        <v>0</v>
      </c>
      <c r="M40">
        <v>240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Y40">
        <f t="shared" si="0"/>
        <v>8</v>
      </c>
    </row>
    <row r="41" spans="1:25" x14ac:dyDescent="0.3">
      <c r="A41" t="s">
        <v>124</v>
      </c>
      <c r="B41" t="s">
        <v>125</v>
      </c>
      <c r="C41" t="s">
        <v>124</v>
      </c>
      <c r="E41" t="s">
        <v>111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10584</v>
      </c>
      <c r="Q41">
        <v>16128</v>
      </c>
      <c r="R41">
        <v>129024</v>
      </c>
      <c r="S41">
        <v>129024</v>
      </c>
      <c r="T41">
        <v>4536</v>
      </c>
      <c r="Y41">
        <f t="shared" ref="Y41:Y72" si="1">SUM(F37:W37)</f>
        <v>4032</v>
      </c>
    </row>
    <row r="42" spans="1:25" x14ac:dyDescent="0.3">
      <c r="A42" t="s">
        <v>126</v>
      </c>
      <c r="B42" t="s">
        <v>127</v>
      </c>
      <c r="E42" t="s">
        <v>111</v>
      </c>
      <c r="G42">
        <v>64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Y42">
        <f t="shared" si="1"/>
        <v>126</v>
      </c>
    </row>
    <row r="43" spans="1:25" x14ac:dyDescent="0.3">
      <c r="A43" t="s">
        <v>129</v>
      </c>
      <c r="B43" t="s">
        <v>130</v>
      </c>
      <c r="E43" t="s">
        <v>111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Y43">
        <f t="shared" si="1"/>
        <v>7168</v>
      </c>
    </row>
    <row r="44" spans="1:25" x14ac:dyDescent="0.3">
      <c r="A44" t="s">
        <v>131</v>
      </c>
      <c r="B44" t="s">
        <v>132</v>
      </c>
      <c r="E44" t="s">
        <v>111</v>
      </c>
      <c r="G44">
        <v>4</v>
      </c>
      <c r="H44">
        <v>0</v>
      </c>
      <c r="I44">
        <v>0</v>
      </c>
      <c r="J44">
        <v>11</v>
      </c>
      <c r="K44">
        <v>36</v>
      </c>
      <c r="L44">
        <v>13</v>
      </c>
      <c r="M44">
        <v>30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Y44">
        <f t="shared" si="1"/>
        <v>768</v>
      </c>
    </row>
    <row r="45" spans="1:25" x14ac:dyDescent="0.3">
      <c r="A45" t="s">
        <v>133</v>
      </c>
      <c r="B45" t="s">
        <v>132</v>
      </c>
      <c r="E45" t="s">
        <v>111</v>
      </c>
      <c r="G45">
        <v>0</v>
      </c>
      <c r="H45">
        <v>2</v>
      </c>
      <c r="I45">
        <v>0</v>
      </c>
      <c r="J45">
        <v>0</v>
      </c>
      <c r="K45">
        <v>0</v>
      </c>
      <c r="L45">
        <v>32</v>
      </c>
      <c r="M45">
        <v>0</v>
      </c>
      <c r="N45">
        <v>2</v>
      </c>
      <c r="O45">
        <v>2</v>
      </c>
      <c r="P45">
        <v>116</v>
      </c>
      <c r="Q45">
        <v>160</v>
      </c>
      <c r="R45">
        <v>764</v>
      </c>
      <c r="S45">
        <v>764</v>
      </c>
      <c r="T45">
        <v>52</v>
      </c>
      <c r="Y45">
        <f t="shared" si="1"/>
        <v>289296</v>
      </c>
    </row>
    <row r="46" spans="1:25" x14ac:dyDescent="0.3">
      <c r="A46" t="s">
        <v>134</v>
      </c>
      <c r="B46" t="s">
        <v>135</v>
      </c>
      <c r="E46" t="s">
        <v>111</v>
      </c>
      <c r="G46">
        <v>0</v>
      </c>
      <c r="H46">
        <v>0</v>
      </c>
      <c r="I46">
        <v>0</v>
      </c>
      <c r="J46">
        <v>0</v>
      </c>
      <c r="K46">
        <v>40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>
        <f t="shared" si="1"/>
        <v>64</v>
      </c>
    </row>
    <row r="47" spans="1:25" x14ac:dyDescent="0.3">
      <c r="A47" t="s">
        <v>136</v>
      </c>
      <c r="B47" t="s">
        <v>48</v>
      </c>
      <c r="E47" t="s">
        <v>49</v>
      </c>
      <c r="G47">
        <v>24</v>
      </c>
      <c r="H47">
        <v>0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>
        <f t="shared" si="1"/>
        <v>1</v>
      </c>
    </row>
    <row r="48" spans="1:25" x14ac:dyDescent="0.3">
      <c r="A48" t="s">
        <v>137</v>
      </c>
      <c r="B48" t="s">
        <v>138</v>
      </c>
      <c r="E48" t="s">
        <v>111</v>
      </c>
      <c r="G48">
        <v>2048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>
        <f t="shared" si="1"/>
        <v>99</v>
      </c>
    </row>
    <row r="49" spans="1:25" x14ac:dyDescent="0.3">
      <c r="A49" t="s">
        <v>139</v>
      </c>
      <c r="C49" t="s">
        <v>139</v>
      </c>
      <c r="E49" t="s">
        <v>96</v>
      </c>
      <c r="U49">
        <v>678</v>
      </c>
      <c r="V49">
        <v>678</v>
      </c>
      <c r="W49">
        <v>1412</v>
      </c>
      <c r="X49">
        <v>788</v>
      </c>
      <c r="Y49">
        <f t="shared" si="1"/>
        <v>1894</v>
      </c>
    </row>
    <row r="50" spans="1:25" x14ac:dyDescent="0.3">
      <c r="A50" t="s">
        <v>140</v>
      </c>
      <c r="B50" t="s">
        <v>141</v>
      </c>
      <c r="E50" t="s">
        <v>49</v>
      </c>
      <c r="G50">
        <v>0</v>
      </c>
      <c r="H50">
        <v>0</v>
      </c>
      <c r="I50">
        <v>0</v>
      </c>
      <c r="J50">
        <v>0</v>
      </c>
      <c r="K50">
        <v>0</v>
      </c>
      <c r="L50">
        <v>12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Y50">
        <f t="shared" si="1"/>
        <v>40</v>
      </c>
    </row>
    <row r="51" spans="1:25" x14ac:dyDescent="0.3">
      <c r="A51" t="s">
        <v>142</v>
      </c>
      <c r="B51" t="s">
        <v>143</v>
      </c>
      <c r="E51" t="s">
        <v>49</v>
      </c>
      <c r="G51">
        <v>0</v>
      </c>
      <c r="H51">
        <v>0</v>
      </c>
      <c r="I51">
        <v>0</v>
      </c>
      <c r="J51">
        <v>992</v>
      </c>
      <c r="K51">
        <v>0</v>
      </c>
      <c r="L51">
        <v>1488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>
        <f t="shared" si="1"/>
        <v>30</v>
      </c>
    </row>
    <row r="52" spans="1:25" x14ac:dyDescent="0.3">
      <c r="A52" t="s">
        <v>144</v>
      </c>
      <c r="B52" t="s">
        <v>145</v>
      </c>
      <c r="E52" t="s">
        <v>49</v>
      </c>
      <c r="G52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Y52">
        <f t="shared" si="1"/>
        <v>2048</v>
      </c>
    </row>
    <row r="53" spans="1:25" x14ac:dyDescent="0.3">
      <c r="A53" t="s">
        <v>146</v>
      </c>
      <c r="B53" t="s">
        <v>147</v>
      </c>
      <c r="E53" t="s">
        <v>49</v>
      </c>
      <c r="G53">
        <v>0</v>
      </c>
      <c r="H53">
        <v>0</v>
      </c>
      <c r="I53">
        <v>8</v>
      </c>
      <c r="J53">
        <v>24</v>
      </c>
      <c r="K53">
        <v>88</v>
      </c>
      <c r="L53">
        <v>208</v>
      </c>
      <c r="M53">
        <v>7640</v>
      </c>
      <c r="N53">
        <v>8</v>
      </c>
      <c r="O53">
        <v>8</v>
      </c>
      <c r="P53">
        <v>0</v>
      </c>
      <c r="Q53">
        <v>0</v>
      </c>
      <c r="R53">
        <v>0</v>
      </c>
      <c r="S53">
        <v>0</v>
      </c>
      <c r="T53">
        <v>0</v>
      </c>
      <c r="Y53">
        <f t="shared" si="1"/>
        <v>2768</v>
      </c>
    </row>
    <row r="54" spans="1:25" x14ac:dyDescent="0.3">
      <c r="A54" t="s">
        <v>148</v>
      </c>
      <c r="B54" t="s">
        <v>149</v>
      </c>
      <c r="E54" t="s">
        <v>49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1216</v>
      </c>
      <c r="O54">
        <v>1120</v>
      </c>
      <c r="P54">
        <v>0</v>
      </c>
      <c r="Q54">
        <v>0</v>
      </c>
      <c r="R54">
        <v>0</v>
      </c>
      <c r="S54">
        <v>0</v>
      </c>
      <c r="T54">
        <v>0</v>
      </c>
      <c r="Y54">
        <f t="shared" si="1"/>
        <v>12</v>
      </c>
    </row>
    <row r="55" spans="1:25" x14ac:dyDescent="0.3">
      <c r="A55" t="s">
        <v>150</v>
      </c>
      <c r="B55" t="s">
        <v>151</v>
      </c>
      <c r="C55" t="s">
        <v>152</v>
      </c>
      <c r="D55" t="s">
        <v>153</v>
      </c>
      <c r="E55" t="s">
        <v>83</v>
      </c>
      <c r="G55">
        <v>0</v>
      </c>
      <c r="H55">
        <v>0</v>
      </c>
      <c r="I55">
        <v>0</v>
      </c>
      <c r="J55">
        <v>0</v>
      </c>
      <c r="K55">
        <v>0</v>
      </c>
      <c r="L55">
        <v>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Y55">
        <f t="shared" si="1"/>
        <v>2480</v>
      </c>
    </row>
    <row r="56" spans="1:25" x14ac:dyDescent="0.3">
      <c r="A56" t="s">
        <v>154</v>
      </c>
      <c r="B56" t="s">
        <v>155</v>
      </c>
      <c r="C56" t="s">
        <v>156</v>
      </c>
      <c r="D56" t="s">
        <v>157</v>
      </c>
      <c r="E56" t="s">
        <v>83</v>
      </c>
      <c r="G56">
        <v>0</v>
      </c>
      <c r="H56">
        <v>0</v>
      </c>
      <c r="I56">
        <v>0</v>
      </c>
      <c r="J56">
        <v>496</v>
      </c>
      <c r="K56">
        <v>0</v>
      </c>
      <c r="L56">
        <v>744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>
        <f t="shared" si="1"/>
        <v>176</v>
      </c>
    </row>
    <row r="57" spans="1:25" x14ac:dyDescent="0.3">
      <c r="A57" t="s">
        <v>158</v>
      </c>
      <c r="B57" t="s">
        <v>151</v>
      </c>
      <c r="C57" t="s">
        <v>152</v>
      </c>
      <c r="D57" t="s">
        <v>153</v>
      </c>
      <c r="E57" t="s">
        <v>83</v>
      </c>
      <c r="G57">
        <v>0</v>
      </c>
      <c r="H57">
        <v>0</v>
      </c>
      <c r="I57">
        <v>0</v>
      </c>
      <c r="J57">
        <v>496</v>
      </c>
      <c r="K57">
        <v>0</v>
      </c>
      <c r="L57">
        <v>744</v>
      </c>
      <c r="M57">
        <v>0</v>
      </c>
      <c r="N57">
        <v>0</v>
      </c>
      <c r="O57">
        <v>94</v>
      </c>
      <c r="P57">
        <v>0</v>
      </c>
      <c r="Q57">
        <v>0</v>
      </c>
      <c r="R57">
        <v>0</v>
      </c>
      <c r="S57">
        <v>0</v>
      </c>
      <c r="T57">
        <v>0</v>
      </c>
      <c r="Y57">
        <f t="shared" si="1"/>
        <v>7984</v>
      </c>
    </row>
    <row r="58" spans="1:25" x14ac:dyDescent="0.3">
      <c r="A58" t="s">
        <v>159</v>
      </c>
      <c r="B58" t="s">
        <v>160</v>
      </c>
      <c r="C58" t="s">
        <v>161</v>
      </c>
      <c r="D58" t="s">
        <v>162</v>
      </c>
      <c r="E58" t="s">
        <v>83</v>
      </c>
      <c r="G58">
        <v>88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Y58">
        <f t="shared" si="1"/>
        <v>2336</v>
      </c>
    </row>
    <row r="59" spans="1:25" x14ac:dyDescent="0.3">
      <c r="A59" t="s">
        <v>163</v>
      </c>
      <c r="C59" t="s">
        <v>163</v>
      </c>
      <c r="E59" t="s">
        <v>49</v>
      </c>
      <c r="U59">
        <v>16384</v>
      </c>
      <c r="V59">
        <v>16384</v>
      </c>
      <c r="W59">
        <v>34272</v>
      </c>
      <c r="X59">
        <v>18144</v>
      </c>
      <c r="Y59">
        <f t="shared" si="1"/>
        <v>12</v>
      </c>
    </row>
    <row r="60" spans="1:25" x14ac:dyDescent="0.3">
      <c r="A60" t="s">
        <v>164</v>
      </c>
      <c r="B60" t="s">
        <v>81</v>
      </c>
      <c r="C60" t="s">
        <v>80</v>
      </c>
      <c r="D60" t="s">
        <v>82</v>
      </c>
      <c r="E60" t="s">
        <v>83</v>
      </c>
      <c r="G60">
        <v>0</v>
      </c>
      <c r="H60">
        <v>0</v>
      </c>
      <c r="I60">
        <v>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>
        <f t="shared" si="1"/>
        <v>1240</v>
      </c>
    </row>
    <row r="61" spans="1:25" x14ac:dyDescent="0.3">
      <c r="A61" t="s">
        <v>165</v>
      </c>
      <c r="B61" t="s">
        <v>166</v>
      </c>
      <c r="C61" t="s">
        <v>167</v>
      </c>
      <c r="D61" t="s">
        <v>168</v>
      </c>
      <c r="E61" t="s">
        <v>83</v>
      </c>
      <c r="G61">
        <v>64</v>
      </c>
      <c r="H61">
        <v>0</v>
      </c>
      <c r="I61">
        <v>0</v>
      </c>
      <c r="J61">
        <v>64</v>
      </c>
      <c r="K61">
        <v>8712</v>
      </c>
      <c r="L61">
        <v>64</v>
      </c>
      <c r="M61">
        <v>7260</v>
      </c>
      <c r="N61">
        <v>640</v>
      </c>
      <c r="O61">
        <v>192</v>
      </c>
      <c r="P61">
        <v>0</v>
      </c>
      <c r="Q61">
        <v>0</v>
      </c>
      <c r="R61">
        <v>0</v>
      </c>
      <c r="S61">
        <v>0</v>
      </c>
      <c r="T61">
        <v>0</v>
      </c>
      <c r="Y61">
        <f t="shared" si="1"/>
        <v>1334</v>
      </c>
    </row>
    <row r="62" spans="1:25" x14ac:dyDescent="0.3">
      <c r="A62" t="s">
        <v>169</v>
      </c>
      <c r="B62" t="s">
        <v>166</v>
      </c>
      <c r="C62" t="s">
        <v>167</v>
      </c>
      <c r="D62" t="s">
        <v>168</v>
      </c>
      <c r="E62" t="s">
        <v>83</v>
      </c>
      <c r="G62">
        <v>192</v>
      </c>
      <c r="H62">
        <v>192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Y62">
        <f t="shared" si="1"/>
        <v>88</v>
      </c>
    </row>
    <row r="63" spans="1:25" x14ac:dyDescent="0.3">
      <c r="A63" t="s">
        <v>170</v>
      </c>
      <c r="B63" t="s">
        <v>88</v>
      </c>
      <c r="C63" t="s">
        <v>87</v>
      </c>
      <c r="D63" t="s">
        <v>89</v>
      </c>
      <c r="E63" t="s">
        <v>83</v>
      </c>
      <c r="G63">
        <v>1240</v>
      </c>
      <c r="H63">
        <v>360</v>
      </c>
      <c r="I63">
        <v>0</v>
      </c>
      <c r="J63">
        <v>1024</v>
      </c>
      <c r="K63">
        <v>2524</v>
      </c>
      <c r="L63">
        <v>2320</v>
      </c>
      <c r="M63">
        <v>2046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Y63">
        <f t="shared" si="1"/>
        <v>67040</v>
      </c>
    </row>
    <row r="64" spans="1:25" x14ac:dyDescent="0.3">
      <c r="A64" t="s">
        <v>171</v>
      </c>
      <c r="C64" t="s">
        <v>171</v>
      </c>
      <c r="E64" t="s">
        <v>83</v>
      </c>
      <c r="U64">
        <v>3148</v>
      </c>
      <c r="V64">
        <v>3148</v>
      </c>
      <c r="W64">
        <v>11464</v>
      </c>
      <c r="X64">
        <v>6460</v>
      </c>
      <c r="Y64">
        <f t="shared" si="1"/>
        <v>24</v>
      </c>
    </row>
    <row r="65" spans="1:25" x14ac:dyDescent="0.3">
      <c r="A65" t="s">
        <v>172</v>
      </c>
      <c r="C65" t="s">
        <v>172</v>
      </c>
      <c r="E65" t="s">
        <v>83</v>
      </c>
      <c r="U65">
        <v>8064</v>
      </c>
      <c r="V65">
        <v>8064</v>
      </c>
      <c r="W65">
        <v>17136</v>
      </c>
      <c r="X65">
        <v>9072</v>
      </c>
      <c r="Y65">
        <f t="shared" si="1"/>
        <v>16996</v>
      </c>
    </row>
    <row r="66" spans="1:25" x14ac:dyDescent="0.3">
      <c r="A66" t="s">
        <v>173</v>
      </c>
      <c r="C66" t="s">
        <v>173</v>
      </c>
      <c r="E66" t="s">
        <v>49</v>
      </c>
      <c r="U66">
        <v>4092</v>
      </c>
      <c r="V66">
        <v>4092</v>
      </c>
      <c r="W66">
        <v>8628</v>
      </c>
      <c r="X66">
        <v>4760</v>
      </c>
      <c r="Y66">
        <f t="shared" si="1"/>
        <v>384</v>
      </c>
    </row>
    <row r="67" spans="1:25" x14ac:dyDescent="0.3">
      <c r="A67" t="s">
        <v>174</v>
      </c>
      <c r="C67" t="s">
        <v>174</v>
      </c>
      <c r="E67" t="s">
        <v>49</v>
      </c>
      <c r="U67">
        <v>200</v>
      </c>
      <c r="V67">
        <v>200</v>
      </c>
      <c r="W67">
        <v>398</v>
      </c>
      <c r="X67">
        <v>230</v>
      </c>
      <c r="Y67">
        <f t="shared" si="1"/>
        <v>9514</v>
      </c>
    </row>
    <row r="68" spans="1:25" x14ac:dyDescent="0.3">
      <c r="A68" t="s">
        <v>175</v>
      </c>
      <c r="C68" t="s">
        <v>175</v>
      </c>
      <c r="E68" t="s">
        <v>49</v>
      </c>
      <c r="U68">
        <v>5164</v>
      </c>
      <c r="V68">
        <v>5164</v>
      </c>
      <c r="W68">
        <v>15748</v>
      </c>
      <c r="X68">
        <v>8468</v>
      </c>
      <c r="Y68">
        <f t="shared" si="1"/>
        <v>17760</v>
      </c>
    </row>
    <row r="69" spans="1:25" x14ac:dyDescent="0.3">
      <c r="A69" t="s">
        <v>176</v>
      </c>
      <c r="C69" t="s">
        <v>176</v>
      </c>
      <c r="E69" t="s">
        <v>49</v>
      </c>
      <c r="U69">
        <v>16128</v>
      </c>
      <c r="Y69">
        <f t="shared" si="1"/>
        <v>33264</v>
      </c>
    </row>
    <row r="70" spans="1:25" x14ac:dyDescent="0.3">
      <c r="A70" t="s">
        <v>177</v>
      </c>
      <c r="C70" t="s">
        <v>177</v>
      </c>
      <c r="E70" t="s">
        <v>49</v>
      </c>
      <c r="U70">
        <v>30</v>
      </c>
      <c r="V70">
        <v>30</v>
      </c>
      <c r="W70">
        <v>30</v>
      </c>
      <c r="X70">
        <v>112</v>
      </c>
      <c r="Y70">
        <f t="shared" si="1"/>
        <v>16812</v>
      </c>
    </row>
    <row r="71" spans="1:25" x14ac:dyDescent="0.3">
      <c r="A71" t="s">
        <v>178</v>
      </c>
      <c r="C71" t="s">
        <v>178</v>
      </c>
      <c r="E71" t="s">
        <v>49</v>
      </c>
      <c r="U71">
        <v>184</v>
      </c>
      <c r="V71">
        <v>184</v>
      </c>
      <c r="W71">
        <v>382</v>
      </c>
      <c r="X71">
        <v>214</v>
      </c>
      <c r="Y71">
        <f t="shared" si="1"/>
        <v>798</v>
      </c>
    </row>
    <row r="72" spans="1:25" x14ac:dyDescent="0.3">
      <c r="A72" t="s">
        <v>179</v>
      </c>
      <c r="C72" t="s">
        <v>179</v>
      </c>
      <c r="E72" t="s">
        <v>49</v>
      </c>
      <c r="U72">
        <v>16128</v>
      </c>
      <c r="V72">
        <v>16128</v>
      </c>
      <c r="W72">
        <v>34272</v>
      </c>
      <c r="X72">
        <v>18144</v>
      </c>
      <c r="Y72">
        <f t="shared" si="1"/>
        <v>26076</v>
      </c>
    </row>
    <row r="73" spans="1:25" x14ac:dyDescent="0.3">
      <c r="A73" t="s">
        <v>180</v>
      </c>
      <c r="B73" t="s">
        <v>181</v>
      </c>
      <c r="E73" t="s">
        <v>49</v>
      </c>
      <c r="G73">
        <v>96</v>
      </c>
      <c r="H73">
        <v>192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>
        <f t="shared" ref="Y73:Y104" si="2">SUM(F69:W69)</f>
        <v>16128</v>
      </c>
    </row>
    <row r="74" spans="1:25" x14ac:dyDescent="0.3">
      <c r="A74" t="s">
        <v>182</v>
      </c>
      <c r="C74" t="s">
        <v>182</v>
      </c>
      <c r="E74" t="s">
        <v>96</v>
      </c>
      <c r="U74">
        <v>56</v>
      </c>
      <c r="V74">
        <v>56</v>
      </c>
      <c r="W74">
        <v>100</v>
      </c>
      <c r="X74">
        <v>64</v>
      </c>
      <c r="Y74">
        <f t="shared" si="2"/>
        <v>90</v>
      </c>
    </row>
    <row r="75" spans="1:25" x14ac:dyDescent="0.3">
      <c r="A75" t="s">
        <v>183</v>
      </c>
      <c r="B75" t="s">
        <v>184</v>
      </c>
      <c r="E75" t="s">
        <v>111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Y75">
        <f t="shared" si="2"/>
        <v>750</v>
      </c>
    </row>
    <row r="76" spans="1:25" x14ac:dyDescent="0.3">
      <c r="A76" t="s">
        <v>185</v>
      </c>
      <c r="C76" t="s">
        <v>185</v>
      </c>
      <c r="E76" t="s">
        <v>96</v>
      </c>
      <c r="U76">
        <v>2</v>
      </c>
      <c r="V76">
        <v>2</v>
      </c>
      <c r="W76">
        <v>2</v>
      </c>
      <c r="X76">
        <v>2</v>
      </c>
      <c r="Y76">
        <f t="shared" si="2"/>
        <v>66528</v>
      </c>
    </row>
    <row r="77" spans="1:25" x14ac:dyDescent="0.3">
      <c r="A77" t="s">
        <v>186</v>
      </c>
      <c r="C77" t="s">
        <v>186</v>
      </c>
      <c r="E77" t="s">
        <v>96</v>
      </c>
      <c r="U77">
        <v>192</v>
      </c>
      <c r="V77">
        <v>96</v>
      </c>
      <c r="W77">
        <v>208</v>
      </c>
      <c r="X77">
        <v>144</v>
      </c>
      <c r="Y77">
        <f t="shared" si="2"/>
        <v>288</v>
      </c>
    </row>
    <row r="78" spans="1:25" x14ac:dyDescent="0.3">
      <c r="A78" t="s">
        <v>187</v>
      </c>
      <c r="C78" t="s">
        <v>187</v>
      </c>
      <c r="E78" t="s">
        <v>96</v>
      </c>
      <c r="U78">
        <v>4</v>
      </c>
      <c r="V78">
        <v>4</v>
      </c>
      <c r="W78">
        <v>4</v>
      </c>
      <c r="X78">
        <v>4</v>
      </c>
      <c r="Y78">
        <f t="shared" si="2"/>
        <v>212</v>
      </c>
    </row>
    <row r="79" spans="1:25" x14ac:dyDescent="0.3">
      <c r="A79" t="s">
        <v>188</v>
      </c>
      <c r="B79" t="s">
        <v>189</v>
      </c>
      <c r="E79" t="s">
        <v>49</v>
      </c>
      <c r="G79">
        <v>20</v>
      </c>
      <c r="H79">
        <v>195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>
        <f t="shared" si="2"/>
        <v>2</v>
      </c>
    </row>
    <row r="80" spans="1:25" x14ac:dyDescent="0.3">
      <c r="A80" t="s">
        <v>190</v>
      </c>
      <c r="C80" t="s">
        <v>190</v>
      </c>
      <c r="E80" t="s">
        <v>96</v>
      </c>
      <c r="U80">
        <v>90</v>
      </c>
      <c r="V80">
        <v>90</v>
      </c>
      <c r="W80">
        <v>187</v>
      </c>
      <c r="X80">
        <v>115</v>
      </c>
      <c r="Y80">
        <f t="shared" si="2"/>
        <v>6</v>
      </c>
    </row>
    <row r="81" spans="1:25" x14ac:dyDescent="0.3">
      <c r="A81" t="s">
        <v>191</v>
      </c>
      <c r="C81" t="s">
        <v>191</v>
      </c>
      <c r="E81" t="s">
        <v>96</v>
      </c>
      <c r="U81">
        <v>24</v>
      </c>
      <c r="V81">
        <v>24</v>
      </c>
      <c r="W81">
        <v>42</v>
      </c>
      <c r="X81">
        <v>26</v>
      </c>
      <c r="Y81">
        <f t="shared" si="2"/>
        <v>496</v>
      </c>
    </row>
    <row r="82" spans="1:25" x14ac:dyDescent="0.3">
      <c r="A82" t="s">
        <v>192</v>
      </c>
      <c r="C82" t="s">
        <v>192</v>
      </c>
      <c r="E82" t="s">
        <v>96</v>
      </c>
      <c r="U82">
        <v>86</v>
      </c>
      <c r="V82">
        <v>86</v>
      </c>
      <c r="W82">
        <v>230</v>
      </c>
      <c r="X82">
        <v>134</v>
      </c>
      <c r="Y82">
        <f t="shared" si="2"/>
        <v>12</v>
      </c>
    </row>
    <row r="83" spans="1:25" x14ac:dyDescent="0.3">
      <c r="A83" t="s">
        <v>193</v>
      </c>
      <c r="C83" t="s">
        <v>193</v>
      </c>
      <c r="E83" t="s">
        <v>54</v>
      </c>
      <c r="V83">
        <v>96</v>
      </c>
      <c r="W83">
        <v>208</v>
      </c>
      <c r="X83">
        <v>144</v>
      </c>
      <c r="Y83">
        <f t="shared" si="2"/>
        <v>215</v>
      </c>
    </row>
    <row r="84" spans="1:25" x14ac:dyDescent="0.3">
      <c r="A84" t="s">
        <v>194</v>
      </c>
      <c r="C84" t="s">
        <v>194</v>
      </c>
      <c r="E84" t="s">
        <v>54</v>
      </c>
      <c r="U84">
        <v>384</v>
      </c>
      <c r="Y84">
        <f t="shared" si="2"/>
        <v>367</v>
      </c>
    </row>
    <row r="85" spans="1:25" x14ac:dyDescent="0.3">
      <c r="A85" t="s">
        <v>195</v>
      </c>
      <c r="B85" t="s">
        <v>196</v>
      </c>
      <c r="E85" t="s">
        <v>111</v>
      </c>
      <c r="G85">
        <v>0</v>
      </c>
      <c r="H85">
        <v>0</v>
      </c>
      <c r="I85">
        <v>144</v>
      </c>
      <c r="J85">
        <v>0</v>
      </c>
      <c r="K85">
        <v>18288</v>
      </c>
      <c r="L85">
        <v>0</v>
      </c>
      <c r="M85">
        <v>7560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>
        <f t="shared" si="2"/>
        <v>90</v>
      </c>
    </row>
    <row r="86" spans="1:25" x14ac:dyDescent="0.3">
      <c r="A86" t="s">
        <v>197</v>
      </c>
      <c r="C86" t="s">
        <v>197</v>
      </c>
      <c r="E86" t="s">
        <v>96</v>
      </c>
      <c r="U86">
        <v>32</v>
      </c>
      <c r="Y86">
        <f t="shared" si="2"/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per sections</vt:lpstr>
      <vt:lpstr>Summary Total</vt:lpstr>
      <vt:lpstr>Summary total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Abuzaid, Abdullah</cp:lastModifiedBy>
  <dcterms:created xsi:type="dcterms:W3CDTF">2026-10-05T14:18:29Z</dcterms:created>
  <dcterms:modified xsi:type="dcterms:W3CDTF">2026-10-06T15:34:36Z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2026-10-06T15:34:17Z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86c8142b-8a30-4697-8066-edbb9ef6a27e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