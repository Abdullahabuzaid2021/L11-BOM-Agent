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per sections" sheetId="1" state="visible" r:id="rId1"/>
    <sheet xmlns:r="http://schemas.openxmlformats.org/officeDocument/2006/relationships" name="Summary Total" sheetId="2" state="visible" r:id="rId2"/>
    <sheet xmlns:r="http://schemas.openxmlformats.org/officeDocument/2006/relationships" name="Summary tota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Model/PN</t>
        </is>
      </c>
      <c r="B1" s="1" t="inlineStr">
        <is>
          <t>Description</t>
        </is>
      </c>
      <c r="C1" s="1" t="inlineStr">
        <is>
          <t>NVIDIA Generic Part number</t>
        </is>
      </c>
      <c r="D1" s="1" t="inlineStr">
        <is>
          <t>Dell PN</t>
        </is>
      </c>
      <c r="E1" s="1" t="inlineStr">
        <is>
          <t>Category</t>
        </is>
      </c>
      <c r="F1" s="1" t="inlineStr">
        <is>
          <t>Section</t>
        </is>
      </c>
      <c r="G1" s="1" t="inlineStr">
        <is>
          <t>BOM - NETWORK - 2026-08-24- IREN -  512 Racks -(B300) - Mackenzie - 512 GPU Storage Testing [Locked]_UNLOCKED.xlsx</t>
        </is>
      </c>
      <c r="H1" s="1" t="inlineStr">
        <is>
          <t>BOM - NETWORK - 2026-09-023 - IREN -  256 Racks - 8192-GPU (B300)_GOLDEN.xlsx</t>
        </is>
      </c>
      <c r="I1" s="1" t="inlineStr">
        <is>
          <t>BOM - NETWORK - 2026-09-04- IREN - PS - VR72 4x Test Racks [Quote]_UNLOCKED.xlsx</t>
        </is>
      </c>
      <c r="J1" s="1" t="inlineStr">
        <is>
          <t>BOM - NETWORK - 2026-09-11- IREN - 50MW 252 Racks - Sweetwater VR NVL72_SN6600-LD_CORE [Quoted]_UNLOCKED.xlsx</t>
        </is>
      </c>
      <c r="K1" s="1" t="inlineStr">
        <is>
          <t>BOM - NETWORK - 2026-09-11- IREN - 50MW 252 Racks - Sweetwater VR NVL72_SN6600-LD_DH [Quoted]_UNLOCKED.xlsx</t>
        </is>
      </c>
      <c r="L1" s="1" t="inlineStr">
        <is>
          <t>BOM - NETWORK - 2026-09-15- IREN CHLD_HORIZON_210 Racks - VR NVL72_SN6600-LD_Core-GOLDEN [Quoting]_UNLOCKED.xlsx</t>
        </is>
      </c>
      <c r="M1" s="1" t="inlineStr">
        <is>
          <t>BOM - NETWORK - 2026-09-15- IREN CHLD_HORIZON_210 Racks - VR NVL72_SN6600-LD_DH_GOLDEN [Quoting]_UNLOCKED.xlsx</t>
        </is>
      </c>
      <c r="N1" s="1" t="inlineStr">
        <is>
          <t>BOM - NETWORK - 2026-09-23 - IREN -  256 Racks - 8192-GPU (B200).xlsx</t>
        </is>
      </c>
      <c r="O1" s="1" t="inlineStr">
        <is>
          <t>BOM - NETWORK - 2026-09-23 - IREN -  B4-5 256 Racks - 8192-GPU (B200).xlsx</t>
        </is>
      </c>
      <c r="P1" s="1" t="inlineStr">
        <is>
          <t>PNL-NETWORK BOM-2026-09-23-Anthropic-Australia_Q1_Q2-21k GPUs VR NVL72.xlsx</t>
        </is>
      </c>
      <c r="Q1" s="1" t="inlineStr">
        <is>
          <t>PNL-NETWORK BOM-2026-09-23-Anthropic-Canada_Q2-32k GPUs VR NVL72.xlsx</t>
        </is>
      </c>
      <c r="R1" s="1" t="inlineStr">
        <is>
          <t>PNL-NETWORK BOM-2026-09-24-Anthropic-US-Q1-Q2-Cluster1-129k GPUs VR NVL72.xlsx</t>
        </is>
      </c>
      <c r="S1" s="1" t="inlineStr">
        <is>
          <t>PNL-NETWORK BOM-2026-09-24-Anthropic-US-Q1-Q2-Cluster2-129k GPUs VR NVL72.xlsx</t>
        </is>
      </c>
      <c r="T1" s="1" t="inlineStr">
        <is>
          <t>PNL-NETWORK BOM-2026-09-25-Anthropic-US_Q1_Q2-Cluster3-9k GPUs VR NVL72.xlsx</t>
        </is>
      </c>
      <c r="U1" s="1" t="inlineStr">
        <is>
          <t>Narvik-8k-6810</t>
        </is>
      </c>
      <c r="V1" s="1" t="inlineStr">
        <is>
          <t>Narvik-8k</t>
        </is>
      </c>
      <c r="W1" s="1" t="inlineStr">
        <is>
          <t>Narvik-17k</t>
        </is>
      </c>
      <c r="X1" s="1" t="inlineStr">
        <is>
          <t>US-TBD-18k</t>
        </is>
      </c>
      <c r="Y1" s="1" t="inlineStr">
        <is>
          <t>Total Quantity</t>
        </is>
      </c>
    </row>
    <row r="2">
      <c r="G2" s="2" t="inlineStr">
        <is>
          <t>IREN</t>
        </is>
      </c>
      <c r="H2" s="2" t="inlineStr">
        <is>
          <t>IREN</t>
        </is>
      </c>
      <c r="I2" s="2" t="inlineStr">
        <is>
          <t>IREN</t>
        </is>
      </c>
      <c r="J2" s="2" t="inlineStr">
        <is>
          <t>IREN</t>
        </is>
      </c>
      <c r="K2" s="2" t="inlineStr">
        <is>
          <t>IREN</t>
        </is>
      </c>
      <c r="L2" s="2" t="inlineStr">
        <is>
          <t>IREN</t>
        </is>
      </c>
      <c r="M2" s="2" t="inlineStr">
        <is>
          <t>IREN</t>
        </is>
      </c>
      <c r="N2" s="2" t="inlineStr">
        <is>
          <t>IREN</t>
        </is>
      </c>
      <c r="O2" s="2" t="inlineStr">
        <is>
          <t>IREN</t>
        </is>
      </c>
      <c r="P2" s="2" t="inlineStr">
        <is>
          <t>Anthropic</t>
        </is>
      </c>
      <c r="Q2" s="2" t="inlineStr">
        <is>
          <t>Anthropic</t>
        </is>
      </c>
      <c r="R2" s="2" t="inlineStr">
        <is>
          <t>Anthropic</t>
        </is>
      </c>
      <c r="S2" s="2" t="inlineStr">
        <is>
          <t>Anthropic</t>
        </is>
      </c>
      <c r="T2" s="2" t="inlineStr">
        <is>
          <t>Anthropic</t>
        </is>
      </c>
      <c r="U2" s="2" t="inlineStr">
        <is>
          <t>NScale</t>
        </is>
      </c>
      <c r="V2" s="2" t="inlineStr">
        <is>
          <t>NScale</t>
        </is>
      </c>
      <c r="W2" s="2" t="inlineStr">
        <is>
          <t>NScale</t>
        </is>
      </c>
      <c r="X2" s="2" t="inlineStr">
        <is>
          <t>NScale</t>
        </is>
      </c>
    </row>
    <row r="3">
      <c r="G3" s="2" t="inlineStr">
        <is>
          <t>Mackenzie, BC</t>
        </is>
      </c>
      <c r="H3" s="2" t="inlineStr">
        <is>
          <t>Childress, TX</t>
        </is>
      </c>
      <c r="I3" s="2" t="inlineStr">
        <is>
          <t>Prince George, BC</t>
        </is>
      </c>
      <c r="J3" s="2" t="inlineStr">
        <is>
          <t>Sweetwater, BC</t>
        </is>
      </c>
      <c r="K3" s="2" t="inlineStr">
        <is>
          <t>Sweetwater, BC</t>
        </is>
      </c>
      <c r="L3" s="2" t="inlineStr">
        <is>
          <t>Horizon, AB</t>
        </is>
      </c>
      <c r="M3" s="2" t="inlineStr">
        <is>
          <t>Horizon, AB</t>
        </is>
      </c>
      <c r="N3" s="2" t="inlineStr">
        <is>
          <t>Childress, TX</t>
        </is>
      </c>
      <c r="O3" s="2" t="inlineStr">
        <is>
          <t>Childress, TX</t>
        </is>
      </c>
      <c r="P3" s="2" t="inlineStr">
        <is>
          <t>Australia</t>
        </is>
      </c>
      <c r="Q3" s="2" t="inlineStr">
        <is>
          <t>Canada</t>
        </is>
      </c>
      <c r="R3" s="2" t="inlineStr">
        <is>
          <t>US-Cluster1</t>
        </is>
      </c>
      <c r="S3" s="2" t="inlineStr">
        <is>
          <t>US-Cluster2</t>
        </is>
      </c>
      <c r="T3" s="2" t="inlineStr">
        <is>
          <t>US-Cluster3</t>
        </is>
      </c>
      <c r="U3" s="2" t="inlineStr">
        <is>
          <t>Narvik, Norway</t>
        </is>
      </c>
      <c r="V3" s="2" t="inlineStr">
        <is>
          <t>Narvik, Norway</t>
        </is>
      </c>
      <c r="W3" s="2" t="inlineStr">
        <is>
          <t>Narvik, Norway</t>
        </is>
      </c>
      <c r="X3" s="2" t="inlineStr">
        <is>
          <t>US-TBD</t>
        </is>
      </c>
    </row>
    <row r="4">
      <c r="A4" t="inlineStr">
        <is>
          <t>Delivery Date</t>
        </is>
      </c>
    </row>
    <row r="5">
      <c r="A5" s="3" t="inlineStr">
        <is>
          <t>470-ABGH</t>
        </is>
      </c>
      <c r="B5" s="3" t="inlineStr">
        <is>
          <t>CBL-MPO12-4LC-SM-5M</t>
        </is>
      </c>
      <c r="C5" s="3" t="n"/>
      <c r="D5" s="3" t="n"/>
      <c r="E5" s="3" t="inlineStr">
        <is>
          <t>Cables</t>
        </is>
      </c>
      <c r="F5" s="3" t="inlineStr">
        <is>
          <t>N-S Networking</t>
        </is>
      </c>
      <c r="G5" s="4" t="n">
        <v>92</v>
      </c>
      <c r="H5" s="3" t="n">
        <v>0</v>
      </c>
      <c r="I5" s="3" t="n">
        <v>0</v>
      </c>
      <c r="J5" s="4" t="n">
        <v>16</v>
      </c>
      <c r="K5" s="4" t="n">
        <v>360</v>
      </c>
      <c r="L5" s="4" t="n">
        <v>32</v>
      </c>
      <c r="M5" s="4" t="n">
        <v>128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/>
      <c r="V5" s="3" t="n"/>
      <c r="W5" s="3" t="n"/>
      <c r="X5" s="3" t="n"/>
      <c r="Y5" s="3">
        <f>SUM(F5:W5)</f>
        <v/>
      </c>
    </row>
    <row r="6">
      <c r="A6" s="3" t="inlineStr">
        <is>
          <t>920-9N110-00F1-0C0</t>
        </is>
      </c>
      <c r="B6" s="3" t="inlineStr">
        <is>
          <t>NVDA SN2201 48x1GBaseT, 1U, 2AC PSU, P2C (P/I) Airflow, w/ Cumulus[MSN2201-CB2FC]</t>
        </is>
      </c>
      <c r="C6" s="3" t="inlineStr">
        <is>
          <t>920-9N110-00F1-0C0</t>
        </is>
      </c>
      <c r="D6" s="3" t="inlineStr">
        <is>
          <t>FTV62</t>
        </is>
      </c>
      <c r="E6" s="3" t="inlineStr">
        <is>
          <t>Switch</t>
        </is>
      </c>
      <c r="F6" s="3" t="inlineStr">
        <is>
          <t>OOB Networking</t>
        </is>
      </c>
      <c r="G6" s="3" t="n">
        <v>0</v>
      </c>
      <c r="H6" s="3" t="n">
        <v>0</v>
      </c>
      <c r="I6" s="4" t="n">
        <v>4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/>
      <c r="V6" s="3" t="n"/>
      <c r="W6" s="3" t="n"/>
      <c r="X6" s="3" t="n"/>
      <c r="Y6" s="3">
        <f>SUM(F6:W6)</f>
        <v/>
      </c>
    </row>
    <row r="7">
      <c r="A7" s="3" t="inlineStr">
        <is>
          <t>920-9N110-00R1- 0C0</t>
        </is>
      </c>
      <c r="B7" s="3" t="inlineStr">
        <is>
          <t>NVDA SN2201 48x1GBaseT, 1U, 2AC PSU, C2P (I/P) Airflow, w/ Cumulus[MSN2201-CB2RC]</t>
        </is>
      </c>
      <c r="C7" s="3" t="inlineStr">
        <is>
          <t>920-9N110-00R1-0C0</t>
        </is>
      </c>
      <c r="D7" s="3" t="inlineStr">
        <is>
          <t>TX78X</t>
        </is>
      </c>
      <c r="E7" s="3" t="inlineStr">
        <is>
          <t>Switch</t>
        </is>
      </c>
      <c r="F7" s="3" t="inlineStr">
        <is>
          <t>OOB Networking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4" t="n">
        <v>205</v>
      </c>
      <c r="O7" s="4" t="n">
        <v>198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/>
      <c r="V7" s="3" t="n"/>
      <c r="W7" s="3" t="n"/>
      <c r="X7" s="3" t="n"/>
      <c r="Y7" s="3">
        <f>SUM(F7:W7)</f>
        <v/>
      </c>
    </row>
    <row r="8">
      <c r="A8" s="3" t="inlineStr">
        <is>
          <t>920-9N110-00R1-NC0</t>
        </is>
      </c>
      <c r="B8" s="3" t="inlineStr">
        <is>
          <t>SN2201 48x1G + 4x100G, DC Busbar Air Cooled</t>
        </is>
      </c>
      <c r="C8" s="3" t="inlineStr">
        <is>
          <t>920-9N110-00R1-NC0</t>
        </is>
      </c>
      <c r="D8" s="3" t="inlineStr">
        <is>
          <t>J2MV9</t>
        </is>
      </c>
      <c r="E8" s="3" t="inlineStr">
        <is>
          <t>Switch</t>
        </is>
      </c>
      <c r="F8" s="3" t="inlineStr">
        <is>
          <t>OOB Networking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4" t="n">
        <v>116</v>
      </c>
      <c r="Q8" s="4" t="n">
        <v>160</v>
      </c>
      <c r="R8" s="4" t="n">
        <v>764</v>
      </c>
      <c r="S8" s="4" t="n">
        <v>764</v>
      </c>
      <c r="T8" s="4" t="n">
        <v>52</v>
      </c>
      <c r="U8" s="3" t="n"/>
      <c r="V8" s="3" t="n"/>
      <c r="W8" s="3" t="n"/>
      <c r="X8" s="3" t="n"/>
      <c r="Y8" s="3">
        <f>SUM(F8:W8)</f>
        <v/>
      </c>
    </row>
    <row r="9">
      <c r="A9" s="3" t="inlineStr">
        <is>
          <t>920-9N110-01R1-NC0 (DPN: J2MV9)</t>
        </is>
      </c>
      <c r="B9" s="3" t="inlineStr">
        <is>
          <t>NVDA SN2201 48x1G (BT), 2AC PSU, C2P (I/P) Airflow, w/ BusBar, w/ Cumulus[MSN2201-CSMRC]</t>
        </is>
      </c>
      <c r="C9" s="3" t="inlineStr">
        <is>
          <t>920-9N110-00R1-NC0</t>
        </is>
      </c>
      <c r="D9" s="3" t="inlineStr">
        <is>
          <t>J2MV9</t>
        </is>
      </c>
      <c r="E9" s="3" t="inlineStr">
        <is>
          <t>Switch</t>
        </is>
      </c>
      <c r="F9" s="3" t="inlineStr">
        <is>
          <t>OOB Networking</t>
        </is>
      </c>
      <c r="G9" s="3" t="n">
        <v>0</v>
      </c>
      <c r="H9" s="3" t="n">
        <v>0</v>
      </c>
      <c r="I9" s="4" t="n">
        <v>8</v>
      </c>
      <c r="J9" s="4" t="n">
        <v>21</v>
      </c>
      <c r="K9" s="4" t="n">
        <v>92</v>
      </c>
      <c r="L9" s="4" t="n">
        <v>28</v>
      </c>
      <c r="M9" s="4" t="n">
        <v>75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/>
      <c r="V9" s="3" t="n"/>
      <c r="W9" s="3" t="n"/>
      <c r="X9" s="3" t="n"/>
      <c r="Y9" s="3">
        <f>SUM(F9:W9)</f>
        <v/>
      </c>
    </row>
    <row r="10">
      <c r="A10" s="3" t="inlineStr">
        <is>
          <t>920-9N301-00RB-0C0</t>
        </is>
      </c>
      <c r="B10" s="3" t="inlineStr">
        <is>
          <t>NVDA SN4700 400GbE, 32xQSFPDD, 1U, 2AC PSU, C2P (I/P) Airflow, w/ Cumulus[MSN4700-WS2RC]</t>
        </is>
      </c>
      <c r="C10" s="3" t="inlineStr">
        <is>
          <t>920-9N301-00RB-0C0</t>
        </is>
      </c>
      <c r="D10" s="3" t="inlineStr">
        <is>
          <t>7F0JN</t>
        </is>
      </c>
      <c r="E10" s="3" t="inlineStr">
        <is>
          <t>Switch</t>
        </is>
      </c>
      <c r="F10" s="3" t="inlineStr">
        <is>
          <t>E-W Networking</t>
        </is>
      </c>
      <c r="G10" s="4" t="n">
        <v>2</v>
      </c>
      <c r="H10" s="4" t="n">
        <v>4</v>
      </c>
      <c r="I10" s="4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4" t="n">
        <v>4</v>
      </c>
      <c r="O10" s="4" t="n">
        <v>4</v>
      </c>
      <c r="P10" s="4" t="n">
        <v>6</v>
      </c>
      <c r="Q10" s="4" t="n">
        <v>6</v>
      </c>
      <c r="R10" s="4" t="n">
        <v>8</v>
      </c>
      <c r="S10" s="4" t="n">
        <v>8</v>
      </c>
      <c r="T10" s="4" t="n">
        <v>6</v>
      </c>
      <c r="U10" s="3" t="n"/>
      <c r="V10" s="3" t="n"/>
      <c r="W10" s="3" t="n"/>
      <c r="X10" s="3" t="n"/>
      <c r="Y10" s="3">
        <f>SUM(F10:W10)</f>
        <v/>
      </c>
    </row>
    <row r="11">
      <c r="A11" s="3" t="inlineStr">
        <is>
          <t>920-9N301-00RB-NC0</t>
        </is>
      </c>
      <c r="B11" s="3" t="inlineStr">
        <is>
          <t>SN4700D, Spectrum-3 based 400GbE 1U Open Ethernet Switch, 32 QSFPDD ports, 48VDC Busbar, x86 CPU, standard depth, C2P airflow, Rail Kit, with Cumulus</t>
        </is>
      </c>
      <c r="C11" s="3" t="inlineStr">
        <is>
          <t>920-9N301-00RB-NC0</t>
        </is>
      </c>
      <c r="D11" s="3" t="n"/>
      <c r="E11" s="3" t="inlineStr">
        <is>
          <t>Switch</t>
        </is>
      </c>
      <c r="F11" s="3" t="inlineStr">
        <is>
          <t>E-W Networking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4" t="n">
        <v>42</v>
      </c>
      <c r="Q11" s="4" t="n">
        <v>64</v>
      </c>
      <c r="R11" s="4" t="n">
        <v>256</v>
      </c>
      <c r="S11" s="4" t="n">
        <v>256</v>
      </c>
      <c r="T11" s="4" t="n">
        <v>18</v>
      </c>
      <c r="U11" s="3" t="n"/>
      <c r="V11" s="3" t="n"/>
      <c r="W11" s="3" t="n"/>
      <c r="X11" s="3" t="n"/>
      <c r="Y11" s="3">
        <f>SUM(F11:W11)</f>
        <v/>
      </c>
    </row>
    <row r="12">
      <c r="A12" s="3" t="inlineStr">
        <is>
          <t>920-9N42F-00RI-3C1</t>
        </is>
      </c>
      <c r="B12" s="3" t="inlineStr">
        <is>
          <t>NVDA SN5610 2U 64xOSFP112, 4xAC PSU, C2P (I/P) Airflow, w/ Cumulus[MSN5610???]</t>
        </is>
      </c>
      <c r="C12" s="3" t="inlineStr">
        <is>
          <t>920-9N42F-00RI-3C1</t>
        </is>
      </c>
      <c r="D12" s="3" t="inlineStr">
        <is>
          <t>52MJM</t>
        </is>
      </c>
      <c r="E12" s="3" t="inlineStr">
        <is>
          <t>Switch</t>
        </is>
      </c>
      <c r="F12" s="3" t="inlineStr">
        <is>
          <t>N-S Networking</t>
        </is>
      </c>
      <c r="G12" s="4" t="n">
        <v>46</v>
      </c>
      <c r="H12" s="4" t="n">
        <v>428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4" t="n">
        <v>2</v>
      </c>
      <c r="Q12" s="4" t="n">
        <v>2</v>
      </c>
      <c r="R12" s="4" t="n">
        <v>2</v>
      </c>
      <c r="S12" s="4" t="n">
        <v>2</v>
      </c>
      <c r="T12" s="4" t="n">
        <v>2</v>
      </c>
      <c r="U12" s="3" t="n"/>
      <c r="V12" s="3" t="n"/>
      <c r="W12" s="3" t="n"/>
      <c r="X12" s="3" t="n"/>
      <c r="Y12" s="3">
        <f>SUM(F12:W12)</f>
        <v/>
      </c>
    </row>
    <row r="13">
      <c r="A13" s="3" t="inlineStr">
        <is>
          <t>920-9N42F-00RI-KC0</t>
        </is>
      </c>
      <c r="B13" s="3" t="inlineStr">
        <is>
          <t>NVDA SN5600D 2U 64xOSFP112, DC BusBar, C2P (I/P) Airflow, w/ Cumulus[MSN5600D???]</t>
        </is>
      </c>
      <c r="C13" s="3" t="inlineStr">
        <is>
          <t>920-9N42F-00RI-KC0</t>
        </is>
      </c>
      <c r="D13" s="3" t="inlineStr">
        <is>
          <t>CTT0V</t>
        </is>
      </c>
      <c r="E13" s="3" t="inlineStr">
        <is>
          <t>Switch</t>
        </is>
      </c>
      <c r="F13" s="3" t="inlineStr">
        <is>
          <t>N-S Networking</t>
        </is>
      </c>
      <c r="G13" s="3" t="n">
        <v>0</v>
      </c>
      <c r="H13" s="3" t="n">
        <v>0</v>
      </c>
      <c r="I13" s="3" t="n">
        <v>0</v>
      </c>
      <c r="J13" s="4" t="n">
        <v>70</v>
      </c>
      <c r="K13" s="4" t="n">
        <v>338</v>
      </c>
      <c r="L13" s="4" t="n">
        <v>94</v>
      </c>
      <c r="M13" s="4" t="n">
        <v>280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/>
      <c r="V13" s="3" t="n"/>
      <c r="W13" s="3" t="n"/>
      <c r="X13" s="3" t="n"/>
      <c r="Y13" s="3">
        <f>SUM(F13:W13)</f>
        <v/>
      </c>
    </row>
    <row r="14">
      <c r="A14" s="3" t="inlineStr">
        <is>
          <t>920-9N62F-00LI-GC1</t>
        </is>
      </c>
      <c r="B14" s="3" t="inlineStr">
        <is>
          <t>SN6600-LD - NVIDIA Spectrum-6 based 800GbE Ethernet switch with Cumulus Linux Authentication, 64 OSFP, 1 QSFP112, 48VDC Busbar, 8-Cores CPU, Secure-boot, Liquid-Cooling, Rail-Kit.</t>
        </is>
      </c>
      <c r="C14" s="3" t="inlineStr">
        <is>
          <t>920-9N62F-00LI-GC1</t>
        </is>
      </c>
      <c r="D14" s="3" t="inlineStr">
        <is>
          <t>3KF5K</t>
        </is>
      </c>
      <c r="E14" s="3" t="inlineStr">
        <is>
          <t>Switch</t>
        </is>
      </c>
      <c r="F14" s="3" t="inlineStr">
        <is>
          <t>N-S Networking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4" t="n">
        <v>1176</v>
      </c>
      <c r="Q14" s="4" t="n">
        <v>1528</v>
      </c>
      <c r="R14" s="4" t="n">
        <v>6112</v>
      </c>
      <c r="S14" s="4" t="n">
        <v>6112</v>
      </c>
      <c r="T14" s="4" t="n">
        <v>544</v>
      </c>
      <c r="U14" s="3" t="n"/>
      <c r="V14" s="3" t="n"/>
      <c r="W14" s="3" t="n"/>
      <c r="X14" s="3" t="n"/>
      <c r="Y14" s="3">
        <f>SUM(F14:W14)</f>
        <v/>
      </c>
    </row>
    <row r="15">
      <c r="A15" s="3" t="inlineStr">
        <is>
          <t>980-9I042-00C000</t>
        </is>
      </c>
      <c r="B15" s="3" t="inlineStr">
        <is>
          <t>NVDA XCVR, 100GbE, QSFP28, LC, 1310nm, Single Mode 1-lane (DR1), IP[MMS1V70-CM]</t>
        </is>
      </c>
      <c r="C15" s="3" t="inlineStr">
        <is>
          <t>980-9I042-00C000</t>
        </is>
      </c>
      <c r="D15" s="3" t="inlineStr">
        <is>
          <t>8XTGF</t>
        </is>
      </c>
      <c r="E15" s="3" t="inlineStr">
        <is>
          <t>Transceiver</t>
        </is>
      </c>
      <c r="F15" s="3" t="inlineStr">
        <is>
          <t>N-S Networking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4" t="n">
        <v>1502</v>
      </c>
      <c r="Q15" s="4" t="n">
        <v>2250</v>
      </c>
      <c r="R15" s="4" t="n">
        <v>9222</v>
      </c>
      <c r="S15" s="4" t="n">
        <v>9222</v>
      </c>
      <c r="T15" s="4" t="n">
        <v>654</v>
      </c>
      <c r="U15" s="3" t="n"/>
      <c r="V15" s="3" t="n"/>
      <c r="W15" s="3" t="n"/>
      <c r="X15" s="3" t="n"/>
      <c r="Y15" s="3">
        <f>SUM(F15:W15)</f>
        <v/>
      </c>
    </row>
    <row r="16">
      <c r="A16" s="3" t="inlineStr">
        <is>
          <t>980-9I16Y-00W000</t>
        </is>
      </c>
      <c r="B16" s="3" t="inlineStr">
        <is>
          <t>NVDA  400G to 4x100, QSFD-DD,MPO,1310nm SMF, up to 500m, DR4 [MMS1V00-WM]</t>
        </is>
      </c>
      <c r="C16" s="3" t="inlineStr">
        <is>
          <t>980-9I16Y-00W000</t>
        </is>
      </c>
      <c r="D16" s="3" t="inlineStr">
        <is>
          <t>NRW8Y</t>
        </is>
      </c>
      <c r="E16" s="3" t="inlineStr">
        <is>
          <t>Transceiver</t>
        </is>
      </c>
      <c r="F16" s="3" t="inlineStr">
        <is>
          <t>N-S Networking</t>
        </is>
      </c>
      <c r="G16" s="4" t="n">
        <v>48</v>
      </c>
      <c r="H16" s="4" t="n">
        <v>32</v>
      </c>
      <c r="I16" s="4" t="n">
        <v>24</v>
      </c>
      <c r="J16" s="3" t="n">
        <v>0</v>
      </c>
      <c r="K16" s="3" t="n">
        <v>0</v>
      </c>
      <c r="L16" s="3" t="n">
        <v>0</v>
      </c>
      <c r="M16" s="3" t="n">
        <v>0</v>
      </c>
      <c r="N16" s="4" t="n">
        <v>16</v>
      </c>
      <c r="O16" s="4" t="n">
        <v>16</v>
      </c>
      <c r="P16" s="4" t="n">
        <v>67</v>
      </c>
      <c r="Q16" s="4" t="n">
        <v>89</v>
      </c>
      <c r="R16" s="4" t="n">
        <v>2183</v>
      </c>
      <c r="S16" s="4" t="n">
        <v>2183</v>
      </c>
      <c r="T16" s="4" t="n">
        <v>152</v>
      </c>
      <c r="U16" s="3" t="n"/>
      <c r="V16" s="3" t="n"/>
      <c r="W16" s="3" t="n"/>
      <c r="X16" s="3" t="n"/>
      <c r="Y16" s="3">
        <f>SUM(F16:W16)</f>
        <v/>
      </c>
    </row>
    <row r="17">
      <c r="A17" s="3" t="inlineStr">
        <is>
          <t>980-9I30G-F4NM00</t>
        </is>
      </c>
      <c r="B17" s="3" t="inlineStr">
        <is>
          <t>NVDA twin port XCVR, 800GbE,2x400,IPonly,O112,2xMPO12 APC,1310N SMF,to 500m,finned HIS[MMS4X00-NM-T]</t>
        </is>
      </c>
      <c r="C17" s="3" t="inlineStr">
        <is>
          <t>980-9I30G-F4NM00</t>
        </is>
      </c>
      <c r="D17" s="3" t="inlineStr">
        <is>
          <t>YW1C0</t>
        </is>
      </c>
      <c r="E17" s="3" t="inlineStr">
        <is>
          <t>Transceiver</t>
        </is>
      </c>
      <c r="F17" s="3" t="inlineStr">
        <is>
          <t>N-S Networking</t>
        </is>
      </c>
      <c r="G17" s="3" t="n">
        <v>0</v>
      </c>
      <c r="H17" s="3" t="n">
        <v>0</v>
      </c>
      <c r="I17" s="4" t="n">
        <v>20</v>
      </c>
      <c r="J17" s="3" t="n">
        <v>0</v>
      </c>
      <c r="K17" s="3" t="n">
        <v>0</v>
      </c>
      <c r="L17" s="3" t="n">
        <v>0</v>
      </c>
      <c r="M17" s="3" t="n">
        <v>0</v>
      </c>
      <c r="N17" s="4" t="n">
        <v>792</v>
      </c>
      <c r="O17" s="4" t="n">
        <v>840</v>
      </c>
      <c r="P17" s="4" t="n">
        <v>16</v>
      </c>
      <c r="Q17" s="4" t="n">
        <v>21</v>
      </c>
      <c r="R17" s="4" t="n">
        <v>70</v>
      </c>
      <c r="S17" s="4" t="n">
        <v>70</v>
      </c>
      <c r="T17" s="4" t="n">
        <v>10</v>
      </c>
      <c r="U17" s="3" t="n"/>
      <c r="V17" s="3" t="n"/>
      <c r="W17" s="3" t="n"/>
      <c r="X17" s="3" t="n"/>
      <c r="Y17" s="3">
        <f>SUM(F17:W17)</f>
        <v/>
      </c>
    </row>
    <row r="18">
      <c r="A18" s="3" t="inlineStr">
        <is>
          <t>980-9IAJ0-00XM00</t>
        </is>
      </c>
      <c r="B18" s="3" t="inlineStr">
        <is>
          <t>NVIDIA twin port XCVR, 2xDR4,1600Gbps,OSFP, 2xMPO(APC), 1310nm SMF, up to 500m, RHS, TRO, IP Only</t>
        </is>
      </c>
      <c r="C18" s="3" t="inlineStr">
        <is>
          <t>980-9IAJ0-00XM00</t>
        </is>
      </c>
      <c r="D18" s="3" t="inlineStr">
        <is>
          <t>M5G88</t>
        </is>
      </c>
      <c r="E18" s="3" t="inlineStr">
        <is>
          <t>Transceiver</t>
        </is>
      </c>
      <c r="F18" s="3" t="inlineStr">
        <is>
          <t>N-S Networking</t>
        </is>
      </c>
      <c r="G18" s="3" t="n">
        <v>0</v>
      </c>
      <c r="H18" s="3" t="n">
        <v>0</v>
      </c>
      <c r="I18" s="4" t="n">
        <v>288</v>
      </c>
      <c r="J18" s="3" t="n">
        <v>0</v>
      </c>
      <c r="K18" s="4" t="n">
        <v>54432</v>
      </c>
      <c r="L18" s="4" t="n">
        <v>15120</v>
      </c>
      <c r="M18" s="4" t="n">
        <v>30240</v>
      </c>
      <c r="N18" s="3" t="n">
        <v>0</v>
      </c>
      <c r="O18" s="3" t="n">
        <v>0</v>
      </c>
      <c r="P18" s="4" t="n">
        <v>84672</v>
      </c>
      <c r="Q18" s="4" t="n">
        <v>129024</v>
      </c>
      <c r="R18" s="4" t="n">
        <v>516096</v>
      </c>
      <c r="S18" s="4" t="n">
        <v>516096</v>
      </c>
      <c r="T18" s="4" t="n">
        <v>27360</v>
      </c>
      <c r="U18" s="3" t="n"/>
      <c r="V18" s="3" t="n"/>
      <c r="W18" s="3" t="n"/>
      <c r="X18" s="3" t="n"/>
      <c r="Y18" s="3">
        <f>SUM(F18:W18)</f>
        <v/>
      </c>
    </row>
    <row r="19">
      <c r="A19" s="3" t="inlineStr">
        <is>
          <t>A7204378</t>
        </is>
      </c>
      <c r="B19" s="3" t="inlineStr">
        <is>
          <t>Switch Xcvr to LC Patch Panel LC-LC short leg patch cable, Other end is MPO to 4xLC to OOB Spine</t>
        </is>
      </c>
      <c r="C19" s="3" t="n"/>
      <c r="D19" s="3" t="n"/>
      <c r="E19" s="3" t="inlineStr">
        <is>
          <t>Cables</t>
        </is>
      </c>
      <c r="F19" s="3" t="inlineStr">
        <is>
          <t>OOB Networking</t>
        </is>
      </c>
      <c r="G19" s="3" t="n">
        <v>0</v>
      </c>
      <c r="H19" s="3" t="n">
        <v>0</v>
      </c>
      <c r="I19" s="4" t="n">
        <v>12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/>
      <c r="V19" s="3" t="n"/>
      <c r="W19" s="3" t="n"/>
      <c r="X19" s="3" t="n"/>
      <c r="Y19" s="3">
        <f>SUM(F19:W19)</f>
        <v/>
      </c>
    </row>
    <row r="20">
      <c r="A20" s="3" t="inlineStr">
        <is>
          <t>Aircool AC Rack</t>
        </is>
      </c>
      <c r="B20" s="3" t="n"/>
      <c r="C20" s="3" t="inlineStr">
        <is>
          <t>Aircool AC Rack</t>
        </is>
      </c>
      <c r="D20" s="3" t="n"/>
      <c r="E20" s="3" t="inlineStr">
        <is>
          <t>Other</t>
        </is>
      </c>
      <c r="F20" s="3" t="inlineStr">
        <is>
          <t>Scale Out Networking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4" t="n">
        <v>28</v>
      </c>
      <c r="V20" s="4" t="n">
        <v>28</v>
      </c>
      <c r="W20" s="4" t="n">
        <v>50</v>
      </c>
      <c r="X20" s="4" t="n">
        <v>32</v>
      </c>
      <c r="Y20" s="3">
        <f>SUM(F20:W20)</f>
        <v/>
      </c>
    </row>
    <row r="21">
      <c r="A21" s="3" t="inlineStr">
        <is>
          <t>C4X6C VSR4</t>
        </is>
      </c>
      <c r="B21" s="3" t="inlineStr">
        <is>
          <t>Hisense 80C multi‑mode QSFP112 transceiver</t>
        </is>
      </c>
      <c r="C21" s="3" t="n"/>
      <c r="D21" s="3" t="n"/>
      <c r="E21" s="3" t="inlineStr">
        <is>
          <t>Transceiver</t>
        </is>
      </c>
      <c r="F21" s="3" t="inlineStr">
        <is>
          <t>E-W Networking</t>
        </is>
      </c>
      <c r="G21" s="4" t="n">
        <v>176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4" t="n">
        <v>188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/>
      <c r="V21" s="3" t="n"/>
      <c r="W21" s="3" t="n"/>
      <c r="X21" s="3" t="n"/>
      <c r="Y21" s="3">
        <f>SUM(F21:W21)</f>
        <v/>
      </c>
    </row>
    <row r="22">
      <c r="A22" s="3" t="inlineStr">
        <is>
          <t>CAT6 Thin 10M</t>
        </is>
      </c>
      <c r="B22" s="3" t="n"/>
      <c r="C22" s="3" t="inlineStr">
        <is>
          <t>CAT6 Thin 10M</t>
        </is>
      </c>
      <c r="D22" s="3" t="n"/>
      <c r="E22" s="3" t="inlineStr">
        <is>
          <t>Other</t>
        </is>
      </c>
      <c r="F22" s="3" t="inlineStr">
        <is>
          <t>Scale Out Networking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4" t="n">
        <v>4048</v>
      </c>
      <c r="V22" s="4" t="n">
        <v>4048</v>
      </c>
      <c r="W22" s="4" t="n">
        <v>8510</v>
      </c>
      <c r="X22" s="4" t="n">
        <v>5198</v>
      </c>
      <c r="Y22" s="3">
        <f>SUM(F22:W22)</f>
        <v/>
      </c>
    </row>
    <row r="23">
      <c r="A23" s="3" t="inlineStr">
        <is>
          <t>CAT6 Thin 3M</t>
        </is>
      </c>
      <c r="B23" s="3" t="n"/>
      <c r="C23" s="3" t="inlineStr">
        <is>
          <t>CAT6 Thin 3M</t>
        </is>
      </c>
      <c r="D23" s="3" t="n"/>
      <c r="E23" s="3" t="inlineStr">
        <is>
          <t>Other</t>
        </is>
      </c>
      <c r="F23" s="3" t="inlineStr">
        <is>
          <t>Scale Out Networking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4" t="n">
        <v>10304</v>
      </c>
      <c r="V23" s="4" t="n">
        <v>10304</v>
      </c>
      <c r="W23" s="4" t="n">
        <v>21896</v>
      </c>
      <c r="X23" s="4" t="n">
        <v>11592</v>
      </c>
      <c r="Y23" s="3">
        <f>SUM(F23:W23)</f>
        <v/>
      </c>
    </row>
    <row r="24">
      <c r="A24" s="3" t="inlineStr">
        <is>
          <t>Cat 6 Cable</t>
        </is>
      </c>
      <c r="B24" s="3" t="inlineStr">
        <is>
          <t>NVIDIA Spectrum-6 based 800GbE Ethernet switch with Cumulus Linux Authentication, 64 OSFP, 1 QSFP112, 48VDC Busbar, 8-Cores CPU, Secure-boot, Liquid-Cooling, Rail-Kit.D39</t>
        </is>
      </c>
      <c r="C24" s="3" t="n"/>
      <c r="D24" s="3" t="n"/>
      <c r="E24" s="3" t="inlineStr">
        <is>
          <t>Cables</t>
        </is>
      </c>
      <c r="F24" s="3" t="inlineStr">
        <is>
          <t>N-S Networking</t>
        </is>
      </c>
      <c r="G24" s="3" t="n">
        <v>0</v>
      </c>
      <c r="H24" s="3" t="n">
        <v>0</v>
      </c>
      <c r="I24" s="4" t="n">
        <v>32</v>
      </c>
      <c r="J24" s="3" t="n">
        <v>0</v>
      </c>
      <c r="K24" s="4" t="n">
        <v>864</v>
      </c>
      <c r="L24" s="4" t="n">
        <v>256</v>
      </c>
      <c r="M24" s="4" t="n">
        <v>480</v>
      </c>
      <c r="N24" s="4" t="n">
        <v>242</v>
      </c>
      <c r="O24" s="4" t="n">
        <v>234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/>
      <c r="V24" s="3" t="n"/>
      <c r="W24" s="3" t="n"/>
      <c r="X24" s="3" t="n"/>
      <c r="Y24" s="3">
        <f>SUM(F24:W24)</f>
        <v/>
      </c>
    </row>
    <row r="25">
      <c r="A25" s="3" t="inlineStr">
        <is>
          <t>Corning 4x100 Breakout PP</t>
        </is>
      </c>
      <c r="B25" s="3" t="inlineStr">
        <is>
          <t>Final Count will come from Actual BOM</t>
        </is>
      </c>
      <c r="C25" s="3" t="n"/>
      <c r="D25" s="3" t="n"/>
      <c r="E25" s="3" t="inlineStr">
        <is>
          <t>Transceiver</t>
        </is>
      </c>
      <c r="F25" s="3" t="inlineStr">
        <is>
          <t>N-S Networking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24</v>
      </c>
      <c r="L25" s="4" t="n">
        <v>8</v>
      </c>
      <c r="M25" s="4" t="n">
        <v>24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/>
      <c r="V25" s="3" t="n"/>
      <c r="W25" s="3" t="n"/>
      <c r="X25" s="3" t="n"/>
      <c r="Y25" s="3">
        <f>SUM(F25:W25)</f>
        <v/>
      </c>
    </row>
    <row r="26">
      <c r="A26" s="3" t="inlineStr">
        <is>
          <t>D3P20</t>
        </is>
      </c>
      <c r="B26" s="3" t="inlineStr">
        <is>
          <t>MOD,CBL,MPO12-APC,SMF,5M</t>
        </is>
      </c>
      <c r="C26" s="3" t="n"/>
      <c r="D26" s="3" t="n"/>
      <c r="E26" s="3" t="inlineStr">
        <is>
          <t>Cables</t>
        </is>
      </c>
      <c r="F26" s="3" t="inlineStr">
        <is>
          <t>N-S Networking</t>
        </is>
      </c>
      <c r="G26" s="4" t="n">
        <v>12</v>
      </c>
      <c r="H26" s="4" t="n">
        <v>24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4" t="n">
        <v>8</v>
      </c>
      <c r="O26" s="4" t="n">
        <v>8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/>
      <c r="V26" s="3" t="n"/>
      <c r="W26" s="3" t="n"/>
      <c r="X26" s="3" t="n"/>
      <c r="Y26" s="3">
        <f>SUM(F26:W26)</f>
        <v/>
      </c>
    </row>
    <row r="27">
      <c r="A27" s="3" t="inlineStr">
        <is>
          <t>DLC DC Rack</t>
        </is>
      </c>
      <c r="B27" s="3" t="n"/>
      <c r="C27" s="3" t="inlineStr">
        <is>
          <t>DLC DC Rack</t>
        </is>
      </c>
      <c r="D27" s="3" t="n"/>
      <c r="E27" s="3" t="inlineStr">
        <is>
          <t>Other</t>
        </is>
      </c>
      <c r="F27" s="3" t="inlineStr">
        <is>
          <t>Scale Out Networking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4" t="n">
        <v>48</v>
      </c>
      <c r="V27" s="4" t="n">
        <v>24</v>
      </c>
      <c r="W27" s="4" t="n">
        <v>52</v>
      </c>
      <c r="X27" s="4" t="n">
        <v>36</v>
      </c>
      <c r="Y27" s="3">
        <f>SUM(F27:W27)</f>
        <v/>
      </c>
    </row>
    <row r="28">
      <c r="A28" s="3" t="inlineStr">
        <is>
          <t>EDGE-03U-8B2X2G</t>
        </is>
      </c>
      <c r="B28" s="3" t="inlineStr">
        <is>
          <t>3U EDGE Shuffling Housing, Holds 8_2x2 Type B Modules for 128 input x 128 output ports</t>
        </is>
      </c>
      <c r="C28" s="3" t="n"/>
      <c r="D28" s="3" t="n"/>
      <c r="E28" s="3" t="inlineStr">
        <is>
          <t>Rack</t>
        </is>
      </c>
      <c r="F28" s="3" t="inlineStr">
        <is>
          <t>Patch Panels / Shuffle Components</t>
        </is>
      </c>
      <c r="G28" s="4" t="n">
        <v>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/>
      <c r="V28" s="3" t="n"/>
      <c r="W28" s="3" t="n"/>
      <c r="X28" s="3" t="n"/>
      <c r="Y28" s="3">
        <f>SUM(F28:W28)</f>
        <v/>
      </c>
    </row>
    <row r="29">
      <c r="A29" s="3" t="inlineStr">
        <is>
          <t>Fiber Jumper Cable</t>
        </is>
      </c>
      <c r="B29" s="3" t="n"/>
      <c r="C29" s="3" t="n"/>
      <c r="D29" s="3" t="n"/>
      <c r="E29" s="3" t="inlineStr">
        <is>
          <t>Cables</t>
        </is>
      </c>
      <c r="F29" s="3" t="inlineStr">
        <is>
          <t>N-S Networking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72576</v>
      </c>
      <c r="L29" s="3" t="n">
        <v>0</v>
      </c>
      <c r="M29" s="4" t="n">
        <v>30240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/>
      <c r="V29" s="3" t="n"/>
      <c r="W29" s="3" t="n"/>
      <c r="X29" s="3" t="n"/>
      <c r="Y29" s="3">
        <f>SUM(F29:W29)</f>
        <v/>
      </c>
    </row>
    <row r="30">
      <c r="A30" s="3" t="inlineStr">
        <is>
          <t>Fiber Jumper cables</t>
        </is>
      </c>
      <c r="B30" s="3" t="inlineStr">
        <is>
          <t>Jumper cables from shiuffle box to leaf</t>
        </is>
      </c>
      <c r="C30" s="3" t="n"/>
      <c r="D30" s="3" t="n"/>
      <c r="E30" s="3" t="inlineStr">
        <is>
          <t>Cables</t>
        </is>
      </c>
      <c r="F30" s="3" t="inlineStr">
        <is>
          <t>N-S Networking</t>
        </is>
      </c>
      <c r="G30" s="3" t="n">
        <v>0</v>
      </c>
      <c r="H30" s="3" t="n">
        <v>0</v>
      </c>
      <c r="I30" s="4" t="n">
        <v>576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/>
      <c r="V30" s="3" t="n"/>
      <c r="W30" s="3" t="n"/>
      <c r="X30" s="3" t="n"/>
      <c r="Y30" s="3">
        <f>SUM(F30:W30)</f>
        <v/>
      </c>
    </row>
    <row r="31">
      <c r="A31" s="3" t="inlineStr">
        <is>
          <t>Fiber panel T1-NtwkRack</t>
        </is>
      </c>
      <c r="B31" s="3" t="n"/>
      <c r="C31" s="3" t="inlineStr">
        <is>
          <t>Fiber panel T1-NtwkRack</t>
        </is>
      </c>
      <c r="D31" s="3" t="n"/>
      <c r="E31" s="3" t="inlineStr">
        <is>
          <t>Rack</t>
        </is>
      </c>
      <c r="F31" s="3" t="inlineStr">
        <is>
          <t>Scale Out Networking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4" t="n">
        <v>256</v>
      </c>
      <c r="V31" s="3" t="n"/>
      <c r="W31" s="3" t="n"/>
      <c r="X31" s="3" t="n"/>
      <c r="Y31" s="3">
        <f>SUM(F31:W31)</f>
        <v/>
      </c>
    </row>
    <row r="32">
      <c r="A32" s="3" t="inlineStr">
        <is>
          <t>Fiber panel per T1-NtwkRack</t>
        </is>
      </c>
      <c r="B32" s="3" t="n"/>
      <c r="C32" s="3" t="inlineStr">
        <is>
          <t>Fiber panel per T1-NtwkRack</t>
        </is>
      </c>
      <c r="D32" s="3" t="n"/>
      <c r="E32" s="3" t="inlineStr">
        <is>
          <t>Rack</t>
        </is>
      </c>
      <c r="F32" s="3" t="inlineStr">
        <is>
          <t>Scale Out Networking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4" t="n">
        <v>8</v>
      </c>
      <c r="V32" s="3" t="n"/>
      <c r="W32" s="3" t="n"/>
      <c r="X32" s="3" t="n"/>
      <c r="Y32" s="3">
        <f>SUM(F32:W32)</f>
        <v/>
      </c>
    </row>
    <row r="33">
      <c r="A33" s="3" t="inlineStr">
        <is>
          <t>Fiber shuffle cassette</t>
        </is>
      </c>
      <c r="B33" s="3" t="n"/>
      <c r="C33" s="3" t="inlineStr">
        <is>
          <t>Fiber shuffle cassette</t>
        </is>
      </c>
      <c r="D33" s="3" t="n"/>
      <c r="E33" s="3" t="inlineStr">
        <is>
          <t>Rack</t>
        </is>
      </c>
      <c r="F33" s="3" t="inlineStr">
        <is>
          <t>Scale Out Networking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4" t="n">
        <v>4032</v>
      </c>
      <c r="V33" s="3" t="n"/>
      <c r="W33" s="3" t="n"/>
      <c r="X33" s="3" t="n"/>
      <c r="Y33" s="3">
        <f>SUM(F33:W33)</f>
        <v/>
      </c>
    </row>
    <row r="34">
      <c r="A34" s="3" t="inlineStr">
        <is>
          <t>Fiber shuffle cassette per T1-NtwkRack</t>
        </is>
      </c>
      <c r="B34" s="3" t="n"/>
      <c r="C34" s="3" t="inlineStr">
        <is>
          <t>Fiber shuffle cassette per T1-NtwkRack</t>
        </is>
      </c>
      <c r="D34" s="3" t="n"/>
      <c r="E34" s="3" t="inlineStr">
        <is>
          <t>Rack</t>
        </is>
      </c>
      <c r="F34" s="3" t="inlineStr">
        <is>
          <t>Scale Out Networking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4" t="n">
        <v>126</v>
      </c>
      <c r="V34" s="3" t="n"/>
      <c r="W34" s="3" t="n"/>
      <c r="X34" s="3" t="n"/>
      <c r="Y34" s="3">
        <f>SUM(F34:W34)</f>
        <v/>
      </c>
    </row>
    <row r="35">
      <c r="A35" s="3" t="inlineStr">
        <is>
          <t>FiberPanel</t>
        </is>
      </c>
      <c r="B35" s="3" t="inlineStr">
        <is>
          <t>2U Panel</t>
        </is>
      </c>
      <c r="C35" s="3" t="inlineStr">
        <is>
          <t>FiberPanel</t>
        </is>
      </c>
      <c r="D35" s="3" t="n"/>
      <c r="E35" s="3" t="inlineStr">
        <is>
          <t>Rack</t>
        </is>
      </c>
      <c r="F35" s="3" t="inlineStr">
        <is>
          <t>Patch Panels / Shuffle Components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4" t="n">
        <v>3584</v>
      </c>
      <c r="S35" s="4" t="n">
        <v>3584</v>
      </c>
      <c r="T35" s="3" t="n">
        <v>0</v>
      </c>
      <c r="U35" s="3" t="n"/>
      <c r="V35" s="3" t="n"/>
      <c r="W35" s="3" t="n"/>
      <c r="X35" s="3" t="n"/>
      <c r="Y35" s="3">
        <f>SUM(F35:W35)</f>
        <v/>
      </c>
    </row>
    <row r="36">
      <c r="A36" s="3" t="inlineStr">
        <is>
          <t>FiberPanel - 2U</t>
        </is>
      </c>
      <c r="B36" s="3" t="inlineStr">
        <is>
          <t>One Patch Panel to rack where SN4700 is installed since 4x100G cable length max size is 5m</t>
        </is>
      </c>
      <c r="C36" s="3" t="n"/>
      <c r="D36" s="3" t="n"/>
      <c r="E36" s="3" t="inlineStr">
        <is>
          <t>Cables</t>
        </is>
      </c>
      <c r="F36" s="3" t="inlineStr">
        <is>
          <t>Patch Panels / Shuffle Components</t>
        </is>
      </c>
      <c r="G36" s="3" t="n">
        <v>0</v>
      </c>
      <c r="H36" s="4" t="n">
        <v>4</v>
      </c>
      <c r="I36" s="4" t="n">
        <v>4</v>
      </c>
      <c r="J36" s="4" t="n">
        <v>4</v>
      </c>
      <c r="K36" s="4" t="n">
        <v>512</v>
      </c>
      <c r="L36" s="3" t="n">
        <v>0</v>
      </c>
      <c r="M36" s="4" t="n">
        <v>240</v>
      </c>
      <c r="N36" s="3" t="n">
        <v>0</v>
      </c>
      <c r="O36" s="4" t="n">
        <v>4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/>
      <c r="V36" s="3" t="n"/>
      <c r="W36" s="3" t="n"/>
      <c r="X36" s="3" t="n"/>
      <c r="Y36" s="3">
        <f>SUM(F36:W36)</f>
        <v/>
      </c>
    </row>
    <row r="37">
      <c r="A37" s="3" t="inlineStr">
        <is>
          <t>Fibre Shuffle Cassettes</t>
        </is>
      </c>
      <c r="B37" s="3" t="inlineStr">
        <is>
          <t>Cassette /SU for Leaf Rack GPU to Leaf [Hosted in Leaf rack] - - MPO-8 4x4 Shuffle Module, 4x8f MPO/APC pinned rear to 4X8f MPO/APC pinned front</t>
        </is>
      </c>
      <c r="C37" s="3" t="inlineStr">
        <is>
          <t>Fibre Shuffle Cassettes</t>
        </is>
      </c>
      <c r="D37" s="3" t="n"/>
      <c r="E37" s="3" t="inlineStr">
        <is>
          <t>Rack</t>
        </is>
      </c>
      <c r="F37" s="3" t="inlineStr">
        <is>
          <t>Patch Panels / Shuffle Components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4" t="n">
        <v>10584</v>
      </c>
      <c r="Q37" s="4" t="n">
        <v>16128</v>
      </c>
      <c r="R37" s="4" t="n">
        <v>129024</v>
      </c>
      <c r="S37" s="4" t="n">
        <v>129024</v>
      </c>
      <c r="T37" s="4" t="n">
        <v>4536</v>
      </c>
      <c r="U37" s="3" t="n"/>
      <c r="V37" s="3" t="n"/>
      <c r="W37" s="3" t="n"/>
      <c r="X37" s="3" t="n"/>
      <c r="Y37" s="3">
        <f>SUM(F37:W37)</f>
        <v/>
      </c>
    </row>
    <row r="38">
      <c r="A38" s="3" t="inlineStr">
        <is>
          <t>GEDEDU8GPN-008-U030M</t>
        </is>
      </c>
      <c r="B38" s="3" t="inlineStr">
        <is>
          <t>288f Trunk, SMF, MPO8 APC Non-pinned to MPO8 APC Non-pinned, Type B Polarity, 8' leg length</t>
        </is>
      </c>
      <c r="C38" s="3" t="n"/>
      <c r="D38" s="3" t="n"/>
      <c r="E38" s="3" t="inlineStr">
        <is>
          <t>Rack</t>
        </is>
      </c>
      <c r="F38" s="3" t="inlineStr">
        <is>
          <t>Racks, PDUs and CDUs</t>
        </is>
      </c>
      <c r="G38" s="4" t="n">
        <v>64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/>
      <c r="V38" s="3" t="n"/>
      <c r="W38" s="3" t="n"/>
      <c r="X38" s="3" t="n"/>
      <c r="Y38" s="3">
        <f>SUM(F38:W38)</f>
        <v/>
      </c>
    </row>
    <row r="39">
      <c r="A39" s="3" t="inlineStr">
        <is>
          <t>IR5000</t>
        </is>
      </c>
      <c r="B39" s="3" t="inlineStr">
        <is>
          <t>IR5000/750mm</t>
        </is>
      </c>
      <c r="C39" s="3" t="n"/>
      <c r="D39" s="3" t="n"/>
      <c r="E39" s="3" t="inlineStr">
        <is>
          <t>Rack</t>
        </is>
      </c>
      <c r="F39" s="3" t="inlineStr">
        <is>
          <t>Racks, PDUs and CDUs</t>
        </is>
      </c>
      <c r="G39" s="3" t="n">
        <v>0</v>
      </c>
      <c r="H39" s="3" t="n">
        <v>0</v>
      </c>
      <c r="I39" s="4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/>
      <c r="V39" s="3" t="n"/>
      <c r="W39" s="3" t="n"/>
      <c r="X39" s="3" t="n"/>
      <c r="Y39" s="3">
        <f>SUM(F39:W39)</f>
        <v/>
      </c>
    </row>
    <row r="40">
      <c r="A40" s="3" t="inlineStr">
        <is>
          <t>IR9048</t>
        </is>
      </c>
      <c r="B40" s="3" t="inlineStr">
        <is>
          <t>750mm x 1200mm/ 48RU</t>
        </is>
      </c>
      <c r="C40" s="3" t="n"/>
      <c r="D40" s="3" t="n"/>
      <c r="E40" s="3" t="inlineStr">
        <is>
          <t>Rack</t>
        </is>
      </c>
      <c r="F40" s="3" t="inlineStr">
        <is>
          <t>Racks, PDUs and CDUs</t>
        </is>
      </c>
      <c r="G40" s="4" t="n">
        <v>4</v>
      </c>
      <c r="H40" s="3" t="n">
        <v>0</v>
      </c>
      <c r="I40" s="3" t="n">
        <v>0</v>
      </c>
      <c r="J40" s="4" t="n">
        <v>11</v>
      </c>
      <c r="K40" s="4" t="n">
        <v>36</v>
      </c>
      <c r="L40" s="4" t="n">
        <v>13</v>
      </c>
      <c r="M40" s="4" t="n">
        <v>30</v>
      </c>
      <c r="N40" s="3" t="n">
        <v>0</v>
      </c>
      <c r="O40" s="3" t="n">
        <v>0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3" t="n"/>
      <c r="V40" s="3" t="n"/>
      <c r="W40" s="3" t="n"/>
      <c r="X40" s="3" t="n"/>
      <c r="Y40" s="3">
        <f>SUM(F40:W40)</f>
        <v/>
      </c>
    </row>
    <row r="41">
      <c r="A41" s="3" t="inlineStr">
        <is>
          <t>IR9148</t>
        </is>
      </c>
      <c r="B41" s="3" t="inlineStr">
        <is>
          <t>750mm x 1200mm/ 48RU</t>
        </is>
      </c>
      <c r="C41" s="3" t="n"/>
      <c r="D41" s="3" t="n"/>
      <c r="E41" s="3" t="inlineStr">
        <is>
          <t>Rack</t>
        </is>
      </c>
      <c r="F41" s="3" t="inlineStr">
        <is>
          <t>Racks, PDUs and CDUs</t>
        </is>
      </c>
      <c r="G41" s="3" t="n">
        <v>0</v>
      </c>
      <c r="H41" s="4" t="n">
        <v>2</v>
      </c>
      <c r="I41" s="3" t="n">
        <v>0</v>
      </c>
      <c r="J41" s="3" t="n">
        <v>0</v>
      </c>
      <c r="K41" s="3" t="n">
        <v>0</v>
      </c>
      <c r="L41" s="4" t="n">
        <v>32</v>
      </c>
      <c r="M41" s="3" t="n">
        <v>0</v>
      </c>
      <c r="N41" s="4" t="n">
        <v>2</v>
      </c>
      <c r="O41" s="4" t="n">
        <v>2</v>
      </c>
      <c r="P41" s="4" t="n">
        <v>116</v>
      </c>
      <c r="Q41" s="4" t="n">
        <v>160</v>
      </c>
      <c r="R41" s="4" t="n">
        <v>764</v>
      </c>
      <c r="S41" s="4" t="n">
        <v>764</v>
      </c>
      <c r="T41" s="4" t="n">
        <v>52</v>
      </c>
      <c r="U41" s="3" t="n"/>
      <c r="V41" s="3" t="n"/>
      <c r="W41" s="3" t="n"/>
      <c r="X41" s="3" t="n"/>
      <c r="Y41" s="3">
        <f>SUM(F41:W41)</f>
        <v/>
      </c>
    </row>
    <row r="42">
      <c r="A42" s="3" t="inlineStr">
        <is>
          <t>IR9149</t>
        </is>
      </c>
      <c r="B42" s="3" t="inlineStr">
        <is>
          <t>IR9000/750mmx1200mm/48U</t>
        </is>
      </c>
      <c r="C42" s="3" t="n"/>
      <c r="D42" s="3" t="n"/>
      <c r="E42" s="3" t="inlineStr">
        <is>
          <t>Rack</t>
        </is>
      </c>
      <c r="F42" s="3" t="inlineStr">
        <is>
          <t>Racks, PDUs and CDUs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40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/>
      <c r="V42" s="3" t="n"/>
      <c r="W42" s="3" t="n"/>
      <c r="X42" s="3" t="n"/>
      <c r="Y42" s="3">
        <f>SUM(F42:W42)</f>
        <v/>
      </c>
    </row>
    <row r="43">
      <c r="A43" s="3" t="inlineStr">
        <is>
          <t>J6TD3</t>
        </is>
      </c>
      <c r="B43" s="3" t="inlineStr">
        <is>
          <t>CBL-MPO12-4LC-SM-5M</t>
        </is>
      </c>
      <c r="C43" s="3" t="n"/>
      <c r="D43" s="3" t="n"/>
      <c r="E43" s="3" t="inlineStr">
        <is>
          <t>Cables</t>
        </is>
      </c>
      <c r="F43" s="3" t="inlineStr">
        <is>
          <t>N-S Networking</t>
        </is>
      </c>
      <c r="G43" s="4" t="n">
        <v>24</v>
      </c>
      <c r="H43" s="3" t="n">
        <v>0</v>
      </c>
      <c r="I43" s="4" t="n">
        <v>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/>
      <c r="V43" s="3" t="n"/>
      <c r="W43" s="3" t="n"/>
      <c r="X43" s="3" t="n"/>
      <c r="Y43" s="3">
        <f>SUM(F43:W43)</f>
        <v/>
      </c>
    </row>
    <row r="44">
      <c r="A44" s="3" t="inlineStr">
        <is>
          <t>JEDED08GE8-NB003M</t>
        </is>
      </c>
      <c r="B44" s="3" t="inlineStr">
        <is>
          <t>8f Jumper, SMF, MPO8 APC Non-pinned to MPO8 APC Non-pinned, Type B Polarity</t>
        </is>
      </c>
      <c r="C44" s="3" t="n"/>
      <c r="D44" s="3" t="n"/>
      <c r="E44" s="3" t="inlineStr">
        <is>
          <t>Rack</t>
        </is>
      </c>
      <c r="F44" s="3" t="inlineStr">
        <is>
          <t>Racks, PDUs and CDUs</t>
        </is>
      </c>
      <c r="G44" s="4" t="n">
        <v>2048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/>
      <c r="V44" s="3" t="n"/>
      <c r="W44" s="3" t="n"/>
      <c r="X44" s="3" t="n"/>
      <c r="Y44" s="3">
        <f>SUM(F44:W44)</f>
        <v/>
      </c>
    </row>
    <row r="45">
      <c r="A45" s="3" t="inlineStr">
        <is>
          <t>LC QSFP28-100G-DR1</t>
        </is>
      </c>
      <c r="B45" s="3" t="n"/>
      <c r="C45" s="3" t="inlineStr">
        <is>
          <t>LC QSFP28-100G-DR1</t>
        </is>
      </c>
      <c r="D45" s="3" t="n"/>
      <c r="E45" s="3" t="inlineStr">
        <is>
          <t>Other</t>
        </is>
      </c>
      <c r="F45" s="3" t="inlineStr">
        <is>
          <t>Scale Out Networking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4" t="n">
        <v>678</v>
      </c>
      <c r="V45" s="4" t="n">
        <v>678</v>
      </c>
      <c r="W45" s="4" t="n">
        <v>1412</v>
      </c>
      <c r="X45" s="4" t="n">
        <v>788</v>
      </c>
      <c r="Y45" s="3">
        <f>SUM(F45:W45)</f>
        <v/>
      </c>
    </row>
    <row r="46">
      <c r="A46" s="3" t="inlineStr">
        <is>
          <t>MFP7E10-N05</t>
        </is>
      </c>
      <c r="B46" s="3" t="inlineStr">
        <is>
          <t>(MPO‑12) multimode fiber cable Type‑B</t>
        </is>
      </c>
      <c r="C46" s="3" t="n"/>
      <c r="D46" s="3" t="n"/>
      <c r="E46" s="3" t="inlineStr">
        <is>
          <t>Cables</t>
        </is>
      </c>
      <c r="F46" s="3" t="inlineStr">
        <is>
          <t>N-S Networking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4" t="n">
        <v>12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/>
      <c r="V46" s="3" t="n"/>
      <c r="W46" s="3" t="n"/>
      <c r="X46" s="3" t="n"/>
      <c r="Y46" s="3">
        <f>SUM(F46:W46)</f>
        <v/>
      </c>
    </row>
    <row r="47">
      <c r="A47" s="3" t="inlineStr">
        <is>
          <t>MFP7E10-N050</t>
        </is>
      </c>
      <c r="B47" s="3" t="inlineStr">
        <is>
          <t>MultiMode Fiber 5 meter MPO12/APC OM4</t>
        </is>
      </c>
      <c r="C47" s="3" t="n"/>
      <c r="D47" s="3" t="n"/>
      <c r="E47" s="3" t="inlineStr">
        <is>
          <t>Cables</t>
        </is>
      </c>
      <c r="F47" s="3" t="inlineStr">
        <is>
          <t>N-S Networking</t>
        </is>
      </c>
      <c r="G47" s="3" t="n">
        <v>0</v>
      </c>
      <c r="H47" s="3" t="n">
        <v>0</v>
      </c>
      <c r="I47" s="3" t="n">
        <v>0</v>
      </c>
      <c r="J47" s="4" t="n">
        <v>992</v>
      </c>
      <c r="K47" s="3" t="n">
        <v>0</v>
      </c>
      <c r="L47" s="4" t="n">
        <v>1488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/>
      <c r="V47" s="3" t="n"/>
      <c r="W47" s="3" t="n"/>
      <c r="X47" s="3" t="n"/>
      <c r="Y47" s="3">
        <f>SUM(F47:W47)</f>
        <v/>
      </c>
    </row>
    <row r="48">
      <c r="A48" s="3" t="inlineStr">
        <is>
          <t>MFP7E10‑N005</t>
        </is>
      </c>
      <c r="B48" s="3" t="inlineStr">
        <is>
          <t>MultiMode Fiber  MPO12/APC OM4 Type-B - 5 meter</t>
        </is>
      </c>
      <c r="C48" s="3" t="n"/>
      <c r="D48" s="3" t="n"/>
      <c r="E48" s="3" t="inlineStr">
        <is>
          <t>Cables</t>
        </is>
      </c>
      <c r="F48" s="3" t="inlineStr">
        <is>
          <t>N-S Networking</t>
        </is>
      </c>
      <c r="G48" s="4" t="n">
        <v>176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/>
      <c r="V48" s="3" t="n"/>
      <c r="W48" s="3" t="n"/>
      <c r="X48" s="3" t="n"/>
      <c r="Y48" s="3">
        <f>SUM(F48:W48)</f>
        <v/>
      </c>
    </row>
    <row r="49">
      <c r="A49" s="3" t="inlineStr">
        <is>
          <t>MFP7E30-N050</t>
        </is>
      </c>
      <c r="B49" s="3" t="inlineStr">
        <is>
          <t>MPO-12/APC to MPO-12/APC cable, 1310nm SMF OS2, 100m max, 50 M</t>
        </is>
      </c>
      <c r="C49" s="3" t="n"/>
      <c r="D49" s="3" t="n"/>
      <c r="E49" s="3" t="inlineStr">
        <is>
          <t>Cables</t>
        </is>
      </c>
      <c r="F49" s="3" t="inlineStr">
        <is>
          <t>N-S Networking</t>
        </is>
      </c>
      <c r="G49" s="3" t="n">
        <v>0</v>
      </c>
      <c r="H49" s="3" t="n">
        <v>0</v>
      </c>
      <c r="I49" s="4" t="n">
        <v>8</v>
      </c>
      <c r="J49" s="4" t="n">
        <v>24</v>
      </c>
      <c r="K49" s="4" t="n">
        <v>88</v>
      </c>
      <c r="L49" s="4" t="n">
        <v>208</v>
      </c>
      <c r="M49" s="4" t="n">
        <v>7640</v>
      </c>
      <c r="N49" s="4" t="n">
        <v>8</v>
      </c>
      <c r="O49" s="4" t="n">
        <v>8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/>
      <c r="V49" s="3" t="n"/>
      <c r="W49" s="3" t="n"/>
      <c r="X49" s="3" t="n"/>
      <c r="Y49" s="3">
        <f>SUM(F49:W49)</f>
        <v/>
      </c>
    </row>
    <row r="50">
      <c r="A50" s="3" t="inlineStr">
        <is>
          <t>MFP7E40-N050</t>
        </is>
      </c>
      <c r="B50" s="3" t="inlineStr">
        <is>
          <t>MPO-12/APC to 2xMPO-12/APC cable, 1310nm SMF OS2, 100m max, 50 M</t>
        </is>
      </c>
      <c r="C50" s="3" t="n"/>
      <c r="D50" s="3" t="n"/>
      <c r="E50" s="3" t="inlineStr">
        <is>
          <t>Cables</t>
        </is>
      </c>
      <c r="F50" s="3" t="inlineStr">
        <is>
          <t>N-S Networking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4" t="n">
        <v>1216</v>
      </c>
      <c r="O50" s="4" t="n">
        <v>1120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/>
      <c r="V50" s="3" t="n"/>
      <c r="W50" s="3" t="n"/>
      <c r="X50" s="3" t="n"/>
      <c r="Y50" s="3">
        <f>SUM(F50:W50)</f>
        <v/>
      </c>
    </row>
    <row r="51">
      <c r="A51" s="3" t="inlineStr">
        <is>
          <t>MMA4Z00-NS</t>
        </is>
      </c>
      <c r="B51" s="3" t="inlineStr">
        <is>
          <t>NVDA XCVR, 800Gbps,2xNDR, OSFP, 2xMPO12 APC, 850nm MMF, up to 50m, finned[MMA4Z00-NS]</t>
        </is>
      </c>
      <c r="C51" s="3" t="inlineStr">
        <is>
          <t>980-9I510-00NS00</t>
        </is>
      </c>
      <c r="D51" s="3" t="inlineStr">
        <is>
          <t>70HK1</t>
        </is>
      </c>
      <c r="E51" s="3" t="inlineStr">
        <is>
          <t>Transceiver</t>
        </is>
      </c>
      <c r="F51" s="3" t="inlineStr">
        <is>
          <t>N-S Networking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4" t="n">
        <v>12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/>
      <c r="V51" s="3" t="n"/>
      <c r="W51" s="3" t="n"/>
      <c r="X51" s="3" t="n"/>
      <c r="Y51" s="3">
        <f>SUM(F51:W51)</f>
        <v/>
      </c>
    </row>
    <row r="52">
      <c r="A52" s="3" t="inlineStr">
        <is>
          <t>MMA4Z00-NS-FLT</t>
        </is>
      </c>
      <c r="B52" s="3" t="inlineStr">
        <is>
          <t>NVDA twin port XCVR,800GbE,2x400,IPonly,O112, 2xMPO12 APC,850nm MMF,to 50m,flat top RHS[MMA4Z00-NS-FLT ]</t>
        </is>
      </c>
      <c r="C52" s="3" t="inlineStr">
        <is>
          <t>980-9I51A-00NS00</t>
        </is>
      </c>
      <c r="D52" s="3" t="inlineStr">
        <is>
          <t>N72T0</t>
        </is>
      </c>
      <c r="E52" s="3" t="inlineStr">
        <is>
          <t>Transceiver</t>
        </is>
      </c>
      <c r="F52" s="3" t="inlineStr">
        <is>
          <t>N-S Networking</t>
        </is>
      </c>
      <c r="G52" s="3" t="n">
        <v>0</v>
      </c>
      <c r="H52" s="3" t="n">
        <v>0</v>
      </c>
      <c r="I52" s="3" t="n">
        <v>0</v>
      </c>
      <c r="J52" s="4" t="n">
        <v>496</v>
      </c>
      <c r="K52" s="3" t="n">
        <v>0</v>
      </c>
      <c r="L52" s="4" t="n">
        <v>744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/>
      <c r="V52" s="3" t="n"/>
      <c r="W52" s="3" t="n"/>
      <c r="X52" s="3" t="n"/>
      <c r="Y52" s="3">
        <f>SUM(F52:W52)</f>
        <v/>
      </c>
    </row>
    <row r="53">
      <c r="A53" s="3" t="inlineStr">
        <is>
          <t>MMA4Z00‑NS</t>
        </is>
      </c>
      <c r="B53" s="3" t="inlineStr">
        <is>
          <t>NVDA XCVR, 800Gbps,2xNDR, OSFP, 2xMPO12 APC, 850nm MMF, up to 50m, finned[MMA4Z00-NS]</t>
        </is>
      </c>
      <c r="C53" s="3" t="inlineStr">
        <is>
          <t>980-9I510-00NS00</t>
        </is>
      </c>
      <c r="D53" s="3" t="inlineStr">
        <is>
          <t>70HK1</t>
        </is>
      </c>
      <c r="E53" s="3" t="inlineStr">
        <is>
          <t>Transceiver</t>
        </is>
      </c>
      <c r="F53" s="3" t="inlineStr">
        <is>
          <t>N-S Networking</t>
        </is>
      </c>
      <c r="G53" s="3" t="n">
        <v>0</v>
      </c>
      <c r="H53" s="3" t="n">
        <v>0</v>
      </c>
      <c r="I53" s="3" t="n">
        <v>0</v>
      </c>
      <c r="J53" s="4" t="n">
        <v>496</v>
      </c>
      <c r="K53" s="3" t="n">
        <v>0</v>
      </c>
      <c r="L53" s="4" t="n">
        <v>744</v>
      </c>
      <c r="M53" s="3" t="n">
        <v>0</v>
      </c>
      <c r="N53" s="3" t="n">
        <v>0</v>
      </c>
      <c r="O53" s="4" t="n">
        <v>94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/>
      <c r="V53" s="3" t="n"/>
      <c r="W53" s="3" t="n"/>
      <c r="X53" s="3" t="n"/>
      <c r="Y53" s="3">
        <f>SUM(F53:W53)</f>
        <v/>
      </c>
    </row>
    <row r="54">
      <c r="A54" s="3" t="inlineStr">
        <is>
          <t>MMA4Z00‑NS-T</t>
        </is>
      </c>
      <c r="B54" s="3" t="inlineStr">
        <is>
          <t>NVDA twin port XCVR, 800GbE, 2x400, IPonly,O112, 2xMPO12 APC,850nm MMF,to 50m, finned[MMA4Z00-NS-T]</t>
        </is>
      </c>
      <c r="C54" s="3" t="inlineStr">
        <is>
          <t>980-9I510-F4NS00</t>
        </is>
      </c>
      <c r="D54" s="3" t="inlineStr">
        <is>
          <t>YWX59</t>
        </is>
      </c>
      <c r="E54" s="3" t="inlineStr">
        <is>
          <t>Transceiver</t>
        </is>
      </c>
      <c r="F54" s="3" t="inlineStr">
        <is>
          <t>N-S Networking</t>
        </is>
      </c>
      <c r="G54" s="4" t="n">
        <v>88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/>
      <c r="V54" s="3" t="n"/>
      <c r="W54" s="3" t="n"/>
      <c r="X54" s="3" t="n"/>
      <c r="Y54" s="3">
        <f>SUM(F54:W54)</f>
        <v/>
      </c>
    </row>
    <row r="55">
      <c r="A55" s="3" t="inlineStr">
        <is>
          <t>MMC12/APC SMF</t>
        </is>
      </c>
      <c r="B55" s="3" t="n"/>
      <c r="C55" s="3" t="inlineStr">
        <is>
          <t>MMC12/APC SMF</t>
        </is>
      </c>
      <c r="D55" s="3" t="n"/>
      <c r="E55" s="3" t="inlineStr">
        <is>
          <t>Cables</t>
        </is>
      </c>
      <c r="F55" s="3" t="inlineStr">
        <is>
          <t>Scale Out Networking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4" t="n">
        <v>16384</v>
      </c>
      <c r="V55" s="4" t="n">
        <v>16384</v>
      </c>
      <c r="W55" s="4" t="n">
        <v>34272</v>
      </c>
      <c r="X55" s="4" t="n">
        <v>18144</v>
      </c>
      <c r="Y55" s="3">
        <f>SUM(F55:W55)</f>
        <v/>
      </c>
    </row>
    <row r="56">
      <c r="A56" s="3" t="inlineStr">
        <is>
          <t>MMS1V70-CM</t>
        </is>
      </c>
      <c r="B56" s="3" t="inlineStr">
        <is>
          <t>NVDA XCVR, 100GbE, QSFP28, LC, 1310nm, Single Mode 1-lane (DR1), IP[MMS1V70-CM]</t>
        </is>
      </c>
      <c r="C56" s="3" t="inlineStr">
        <is>
          <t>980-9I042-00C000</t>
        </is>
      </c>
      <c r="D56" s="3" t="inlineStr">
        <is>
          <t>8XTGF</t>
        </is>
      </c>
      <c r="E56" s="3" t="inlineStr">
        <is>
          <t>Transceiver</t>
        </is>
      </c>
      <c r="F56" s="3" t="inlineStr">
        <is>
          <t>E-W Networking</t>
        </is>
      </c>
      <c r="G56" s="3" t="n">
        <v>0</v>
      </c>
      <c r="H56" s="3" t="n">
        <v>0</v>
      </c>
      <c r="I56" s="4" t="n">
        <v>24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/>
      <c r="V56" s="3" t="n"/>
      <c r="W56" s="3" t="n"/>
      <c r="X56" s="3" t="n"/>
      <c r="Y56" s="3">
        <f>SUM(F56:W56)</f>
        <v/>
      </c>
    </row>
    <row r="57">
      <c r="A57" s="3" t="inlineStr">
        <is>
          <t>MMS1X00-NS400</t>
        </is>
      </c>
      <c r="B57" s="3" t="inlineStr">
        <is>
          <t>NVDA XCVR400GbE, QSFP112, MPO12 APC, R4, SMF, p to 500m, Flattop (MMS1X00-NS400)</t>
        </is>
      </c>
      <c r="C57" s="3" t="inlineStr">
        <is>
          <t>980-9I068-00NM00</t>
        </is>
      </c>
      <c r="D57" s="3" t="inlineStr">
        <is>
          <t>6YVDP</t>
        </is>
      </c>
      <c r="E57" s="3" t="inlineStr">
        <is>
          <t>Transceiver</t>
        </is>
      </c>
      <c r="F57" s="3" t="inlineStr">
        <is>
          <t>N-S Networking</t>
        </is>
      </c>
      <c r="G57" s="4" t="n">
        <v>64</v>
      </c>
      <c r="H57" s="3" t="n">
        <v>0</v>
      </c>
      <c r="I57" s="3" t="n">
        <v>0</v>
      </c>
      <c r="J57" s="4" t="n">
        <v>64</v>
      </c>
      <c r="K57" s="4" t="n">
        <v>8712</v>
      </c>
      <c r="L57" s="4" t="n">
        <v>64</v>
      </c>
      <c r="M57" s="4" t="n">
        <v>7260</v>
      </c>
      <c r="N57" s="4" t="n">
        <v>640</v>
      </c>
      <c r="O57" s="4" t="n">
        <v>192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/>
      <c r="V57" s="3" t="n"/>
      <c r="W57" s="3" t="n"/>
      <c r="X57" s="3" t="n"/>
      <c r="Y57" s="3">
        <f>SUM(F57:W57)</f>
        <v/>
      </c>
    </row>
    <row r="58">
      <c r="A58" s="3" t="inlineStr">
        <is>
          <t>MMS1X00-NS400 - 6YVDP</t>
        </is>
      </c>
      <c r="B58" s="3" t="inlineStr">
        <is>
          <t>NVDA XCVR400GbE, QSFP112, MPO12 APC, R4, SMF, p to 500m, Flattop (MMS1X00-NS400)</t>
        </is>
      </c>
      <c r="C58" s="3" t="inlineStr">
        <is>
          <t>980-9I068-00NM00</t>
        </is>
      </c>
      <c r="D58" s="3" t="inlineStr">
        <is>
          <t>6YVDP</t>
        </is>
      </c>
      <c r="E58" s="3" t="inlineStr">
        <is>
          <t>Transceiver</t>
        </is>
      </c>
      <c r="F58" s="3" t="inlineStr">
        <is>
          <t>N-S Networking</t>
        </is>
      </c>
      <c r="G58" s="4" t="n">
        <v>192</v>
      </c>
      <c r="H58" s="4" t="n">
        <v>192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/>
      <c r="V58" s="3" t="n"/>
      <c r="W58" s="3" t="n"/>
      <c r="X58" s="3" t="n"/>
      <c r="Y58" s="3">
        <f>SUM(F58:W58)</f>
        <v/>
      </c>
    </row>
    <row r="59">
      <c r="A59" s="3" t="inlineStr">
        <is>
          <t>MMS4X00-NM-T</t>
        </is>
      </c>
      <c r="B59" s="3" t="inlineStr">
        <is>
          <t>NVDA twin port XCVR, 800GbE,2x400,IPonly,O112,2xMPO12 APC,1310N SMF,to 500m,finned HIS[MMS4X00-NM-T]</t>
        </is>
      </c>
      <c r="C59" s="3" t="inlineStr">
        <is>
          <t>980-9I30G-F4NM00</t>
        </is>
      </c>
      <c r="D59" s="3" t="inlineStr">
        <is>
          <t>YW1C0</t>
        </is>
      </c>
      <c r="E59" s="3" t="inlineStr">
        <is>
          <t>Transceiver</t>
        </is>
      </c>
      <c r="F59" s="3" t="inlineStr">
        <is>
          <t>N-S Networking</t>
        </is>
      </c>
      <c r="G59" s="4" t="n">
        <v>1240</v>
      </c>
      <c r="H59" s="4" t="n">
        <v>360</v>
      </c>
      <c r="I59" s="3" t="n">
        <v>0</v>
      </c>
      <c r="J59" s="4" t="n">
        <v>1024</v>
      </c>
      <c r="K59" s="4" t="n">
        <v>2524</v>
      </c>
      <c r="L59" s="4" t="n">
        <v>2320</v>
      </c>
      <c r="M59" s="4" t="n">
        <v>2046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/>
      <c r="V59" s="3" t="n"/>
      <c r="W59" s="3" t="n"/>
      <c r="X59" s="3" t="n"/>
      <c r="Y59" s="3">
        <f>SUM(F59:W59)</f>
        <v/>
      </c>
    </row>
    <row r="60">
      <c r="A60" s="3" t="inlineStr">
        <is>
          <t>MPO OSFP112-800G-2x400G-2DR4 Twin</t>
        </is>
      </c>
      <c r="B60" s="3" t="n"/>
      <c r="C60" s="3" t="inlineStr">
        <is>
          <t>MPO OSFP112-800G-2x400G-2DR4 Twin</t>
        </is>
      </c>
      <c r="D60" s="3" t="n"/>
      <c r="E60" s="3" t="inlineStr">
        <is>
          <t>Transceiver</t>
        </is>
      </c>
      <c r="F60" s="3" t="inlineStr">
        <is>
          <t>Scale Out Networking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4" t="n">
        <v>3148</v>
      </c>
      <c r="V60" s="4" t="n">
        <v>3148</v>
      </c>
      <c r="W60" s="4" t="n">
        <v>11464</v>
      </c>
      <c r="X60" s="4" t="n">
        <v>6460</v>
      </c>
      <c r="Y60" s="3">
        <f>SUM(F60:W60)</f>
        <v/>
      </c>
    </row>
    <row r="61">
      <c r="A61" s="3" t="inlineStr">
        <is>
          <t>MPO OSFP224-1600G-2x800G-2DR4 Twin RHS</t>
        </is>
      </c>
      <c r="B61" s="3" t="n"/>
      <c r="C61" s="3" t="inlineStr">
        <is>
          <t>MPO OSFP224-1600G-2x800G-2DR4 Twin RHS</t>
        </is>
      </c>
      <c r="D61" s="3" t="n"/>
      <c r="E61" s="3" t="inlineStr">
        <is>
          <t>Transceiver</t>
        </is>
      </c>
      <c r="F61" s="3" t="inlineStr">
        <is>
          <t>Scale Out Networking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4" t="n">
        <v>8064</v>
      </c>
      <c r="V61" s="4" t="n">
        <v>8064</v>
      </c>
      <c r="W61" s="4" t="n">
        <v>17136</v>
      </c>
      <c r="X61" s="4" t="n">
        <v>9072</v>
      </c>
      <c r="Y61" s="3">
        <f>SUM(F61:W61)</f>
        <v/>
      </c>
    </row>
    <row r="62">
      <c r="A62" s="3" t="inlineStr">
        <is>
          <t>MPO QSFP112-400G-DR4</t>
        </is>
      </c>
      <c r="B62" s="3" t="n"/>
      <c r="C62" s="3" t="inlineStr">
        <is>
          <t>MPO QSFP112-400G-DR4</t>
        </is>
      </c>
      <c r="D62" s="3" t="n"/>
      <c r="E62" s="3" t="inlineStr">
        <is>
          <t>Cables</t>
        </is>
      </c>
      <c r="F62" s="3" t="inlineStr">
        <is>
          <t>Scale Out Networking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4" t="n">
        <v>4092</v>
      </c>
      <c r="V62" s="4" t="n">
        <v>4092</v>
      </c>
      <c r="W62" s="4" t="n">
        <v>8628</v>
      </c>
      <c r="X62" s="4" t="n">
        <v>4760</v>
      </c>
      <c r="Y62" s="3">
        <f>SUM(F62:W62)</f>
        <v/>
      </c>
    </row>
    <row r="63">
      <c r="A63" s="3" t="inlineStr">
        <is>
          <t>MPO QSFP56DD-400G-DR4</t>
        </is>
      </c>
      <c r="B63" s="3" t="n"/>
      <c r="C63" s="3" t="inlineStr">
        <is>
          <t>MPO QSFP56DD-400G-DR4</t>
        </is>
      </c>
      <c r="D63" s="3" t="n"/>
      <c r="E63" s="3" t="inlineStr">
        <is>
          <t>Cables</t>
        </is>
      </c>
      <c r="F63" s="3" t="inlineStr">
        <is>
          <t>Scale Out Networking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4" t="n">
        <v>200</v>
      </c>
      <c r="V63" s="4" t="n">
        <v>200</v>
      </c>
      <c r="W63" s="4" t="n">
        <v>398</v>
      </c>
      <c r="X63" s="4" t="n">
        <v>230</v>
      </c>
      <c r="Y63" s="3">
        <f>SUM(F63:W63)</f>
        <v/>
      </c>
    </row>
    <row r="64">
      <c r="A64" s="3" t="inlineStr">
        <is>
          <t>MPO12/APC SMF</t>
        </is>
      </c>
      <c r="B64" s="3" t="n"/>
      <c r="C64" s="3" t="inlineStr">
        <is>
          <t>MPO12/APC SMF</t>
        </is>
      </c>
      <c r="D64" s="3" t="n"/>
      <c r="E64" s="3" t="inlineStr">
        <is>
          <t>Cables</t>
        </is>
      </c>
      <c r="F64" s="3" t="inlineStr">
        <is>
          <t>Scale Out Networking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4" t="n">
        <v>5164</v>
      </c>
      <c r="V64" s="4" t="n">
        <v>5164</v>
      </c>
      <c r="W64" s="4" t="n">
        <v>15748</v>
      </c>
      <c r="X64" s="4" t="n">
        <v>8468</v>
      </c>
      <c r="Y64" s="3">
        <f>SUM(F64:W64)</f>
        <v/>
      </c>
    </row>
    <row r="65">
      <c r="A65" s="3" t="inlineStr">
        <is>
          <t>MPO12/APC SMF Jumper</t>
        </is>
      </c>
      <c r="B65" s="3" t="n"/>
      <c r="C65" s="3" t="inlineStr">
        <is>
          <t>MPO12/APC SMF Jumper</t>
        </is>
      </c>
      <c r="D65" s="3" t="n"/>
      <c r="E65" s="3" t="inlineStr">
        <is>
          <t>Cables</t>
        </is>
      </c>
      <c r="F65" s="3" t="inlineStr">
        <is>
          <t>Scale Out Networking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4" t="n">
        <v>16128</v>
      </c>
      <c r="V65" s="3" t="n"/>
      <c r="W65" s="3" t="n"/>
      <c r="X65" s="3" t="n"/>
      <c r="Y65" s="3">
        <f>SUM(F65:W65)</f>
        <v/>
      </c>
    </row>
    <row r="66">
      <c r="A66" s="3" t="inlineStr">
        <is>
          <t>MPO12/APC-2MPO12/APC SMF</t>
        </is>
      </c>
      <c r="B66" s="3" t="n"/>
      <c r="C66" s="3" t="inlineStr">
        <is>
          <t>MPO12/APC-2MPO12/APC SMF</t>
        </is>
      </c>
      <c r="D66" s="3" t="n"/>
      <c r="E66" s="3" t="inlineStr">
        <is>
          <t>Cables</t>
        </is>
      </c>
      <c r="F66" s="3" t="inlineStr">
        <is>
          <t>Scale Out Networking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4" t="n">
        <v>30</v>
      </c>
      <c r="V66" s="4" t="n">
        <v>30</v>
      </c>
      <c r="W66" s="4" t="n">
        <v>30</v>
      </c>
      <c r="X66" s="4" t="n">
        <v>112</v>
      </c>
      <c r="Y66" s="3">
        <f>SUM(F66:W66)</f>
        <v/>
      </c>
    </row>
    <row r="67">
      <c r="A67" s="3" t="inlineStr">
        <is>
          <t>MPO12/APC-4LC SMF</t>
        </is>
      </c>
      <c r="B67" s="3" t="n"/>
      <c r="C67" s="3" t="inlineStr">
        <is>
          <t>MPO12/APC-4LC SMF</t>
        </is>
      </c>
      <c r="D67" s="3" t="n"/>
      <c r="E67" s="3" t="inlineStr">
        <is>
          <t>Cables</t>
        </is>
      </c>
      <c r="F67" s="3" t="inlineStr">
        <is>
          <t>Scale Out Networking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4" t="n">
        <v>184</v>
      </c>
      <c r="V67" s="4" t="n">
        <v>184</v>
      </c>
      <c r="W67" s="4" t="n">
        <v>382</v>
      </c>
      <c r="X67" s="4" t="n">
        <v>214</v>
      </c>
      <c r="Y67" s="3">
        <f>SUM(F67:W67)</f>
        <v/>
      </c>
    </row>
    <row r="68">
      <c r="A68" s="3" t="inlineStr">
        <is>
          <t>MPO12/APC-MMC12/APC SMF</t>
        </is>
      </c>
      <c r="B68" s="3" t="n"/>
      <c r="C68" s="3" t="inlineStr">
        <is>
          <t>MPO12/APC-MMC12/APC SMF</t>
        </is>
      </c>
      <c r="D68" s="3" t="n"/>
      <c r="E68" s="3" t="inlineStr">
        <is>
          <t>Cables</t>
        </is>
      </c>
      <c r="F68" s="3" t="inlineStr">
        <is>
          <t>Scale Out Networking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4" t="n">
        <v>16128</v>
      </c>
      <c r="V68" s="4" t="n">
        <v>16128</v>
      </c>
      <c r="W68" s="4" t="n">
        <v>34272</v>
      </c>
      <c r="X68" s="4" t="n">
        <v>18144</v>
      </c>
      <c r="Y68" s="3">
        <f>SUM(F68:W68)</f>
        <v/>
      </c>
    </row>
    <row r="69">
      <c r="A69" s="3" t="inlineStr">
        <is>
          <t>NFM93</t>
        </is>
      </c>
      <c r="B69" s="3" t="inlineStr">
        <is>
          <t>MOD,CBL,MPO12-2MPO4,SMF,30M</t>
        </is>
      </c>
      <c r="C69" s="3" t="n"/>
      <c r="D69" s="3" t="n"/>
      <c r="E69" s="3" t="inlineStr">
        <is>
          <t>Cables</t>
        </is>
      </c>
      <c r="F69" s="3" t="inlineStr">
        <is>
          <t>N-S Networking</t>
        </is>
      </c>
      <c r="G69" s="4" t="n">
        <v>96</v>
      </c>
      <c r="H69" s="4" t="n">
        <v>192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/>
      <c r="V69" s="3" t="n"/>
      <c r="W69" s="3" t="n"/>
      <c r="X69" s="3" t="n"/>
      <c r="Y69" s="3">
        <f>SUM(F69:W69)</f>
        <v/>
      </c>
    </row>
    <row r="70">
      <c r="A70" s="3" t="inlineStr">
        <is>
          <t>PDU</t>
        </is>
      </c>
      <c r="B70" s="3" t="n"/>
      <c r="C70" s="3" t="inlineStr">
        <is>
          <t>PDU</t>
        </is>
      </c>
      <c r="D70" s="3" t="n"/>
      <c r="E70" s="3" t="inlineStr">
        <is>
          <t>Other</t>
        </is>
      </c>
      <c r="F70" s="3" t="inlineStr">
        <is>
          <t>Scale Out Networking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4" t="n">
        <v>56</v>
      </c>
      <c r="V70" s="4" t="n">
        <v>56</v>
      </c>
      <c r="W70" s="4" t="n">
        <v>100</v>
      </c>
      <c r="X70" s="4" t="n">
        <v>64</v>
      </c>
      <c r="Y70" s="3">
        <f>SUM(F70:W70)</f>
        <v/>
      </c>
    </row>
    <row r="71">
      <c r="A71" s="3" t="inlineStr">
        <is>
          <t>PDU 3Ph, 415V, 60A</t>
        </is>
      </c>
      <c r="B71" s="3" t="inlineStr">
        <is>
          <t>3PH, 415V, 60A, 560P6, 42 Outlet</t>
        </is>
      </c>
      <c r="C71" s="3" t="n"/>
      <c r="D71" s="3" t="n"/>
      <c r="E71" s="3" t="inlineStr">
        <is>
          <t>Rack</t>
        </is>
      </c>
      <c r="F71" s="3" t="inlineStr">
        <is>
          <t>Racks, PDUs and CDUs</t>
        </is>
      </c>
      <c r="G71" s="3" t="n">
        <v>0</v>
      </c>
      <c r="H71" s="3" t="n">
        <v>0</v>
      </c>
      <c r="I71" s="4" t="n">
        <v>2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/>
      <c r="V71" s="3" t="n"/>
      <c r="W71" s="3" t="n"/>
      <c r="X71" s="3" t="n"/>
      <c r="Y71" s="3">
        <f>SUM(F71:W71)</f>
        <v/>
      </c>
    </row>
    <row r="72">
      <c r="A72" s="3" t="inlineStr">
        <is>
          <t>PDU per Aircool AC Rack</t>
        </is>
      </c>
      <c r="B72" s="3" t="n"/>
      <c r="C72" s="3" t="inlineStr">
        <is>
          <t>PDU per Aircool AC Rack</t>
        </is>
      </c>
      <c r="D72" s="3" t="n"/>
      <c r="E72" s="3" t="inlineStr">
        <is>
          <t>Other</t>
        </is>
      </c>
      <c r="F72" s="3" t="inlineStr">
        <is>
          <t>Scale Out Networking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4" t="n">
        <v>2</v>
      </c>
      <c r="V72" s="4" t="n">
        <v>2</v>
      </c>
      <c r="W72" s="4" t="n">
        <v>2</v>
      </c>
      <c r="X72" s="4" t="n">
        <v>2</v>
      </c>
      <c r="Y72" s="3">
        <f>SUM(F72:W72)</f>
        <v/>
      </c>
    </row>
    <row r="73">
      <c r="A73" s="3" t="inlineStr">
        <is>
          <t>PS</t>
        </is>
      </c>
      <c r="B73" s="3" t="n"/>
      <c r="C73" s="3" t="inlineStr">
        <is>
          <t>PS</t>
        </is>
      </c>
      <c r="D73" s="3" t="n"/>
      <c r="E73" s="3" t="inlineStr">
        <is>
          <t>Other</t>
        </is>
      </c>
      <c r="F73" s="3" t="inlineStr">
        <is>
          <t>Scale Out Networking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4" t="n">
        <v>192</v>
      </c>
      <c r="V73" s="4" t="n">
        <v>96</v>
      </c>
      <c r="W73" s="4" t="n">
        <v>208</v>
      </c>
      <c r="X73" s="4" t="n">
        <v>144</v>
      </c>
      <c r="Y73" s="3">
        <f>SUM(F73:W73)</f>
        <v/>
      </c>
    </row>
    <row r="74">
      <c r="A74" s="3" t="inlineStr">
        <is>
          <t>PS per DLC DC Rack</t>
        </is>
      </c>
      <c r="B74" s="3" t="n"/>
      <c r="C74" s="3" t="inlineStr">
        <is>
          <t>PS per DLC DC Rack</t>
        </is>
      </c>
      <c r="D74" s="3" t="n"/>
      <c r="E74" s="3" t="inlineStr">
        <is>
          <t>Other</t>
        </is>
      </c>
      <c r="F74" s="3" t="inlineStr">
        <is>
          <t>Scale Out Networking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4" t="n">
        <v>4</v>
      </c>
      <c r="V74" s="4" t="n">
        <v>4</v>
      </c>
      <c r="W74" s="4" t="n">
        <v>4</v>
      </c>
      <c r="X74" s="4" t="n">
        <v>4</v>
      </c>
      <c r="Y74" s="3">
        <f>SUM(F74:W74)</f>
        <v/>
      </c>
    </row>
    <row r="75">
      <c r="A75" s="3" t="inlineStr">
        <is>
          <t>SN2201 , 1U , C2P</t>
        </is>
      </c>
      <c r="B75" s="3" t="inlineStr">
        <is>
          <t>48 × RJ45 10/100/1000BASE‑T ports PLUS 4 × QSFP28 ports (can be used as 4×100 GbE, or broken out to lower speeds like 4×25 GbE, etc.)</t>
        </is>
      </c>
      <c r="C75" s="3" t="n"/>
      <c r="D75" s="3" t="n"/>
      <c r="E75" s="3" t="inlineStr">
        <is>
          <t>Cables</t>
        </is>
      </c>
      <c r="F75" s="3" t="inlineStr">
        <is>
          <t>OOB Networking</t>
        </is>
      </c>
      <c r="G75" s="4" t="n">
        <v>20</v>
      </c>
      <c r="H75" s="4" t="n">
        <v>195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/>
      <c r="V75" s="3" t="n"/>
      <c r="W75" s="3" t="n"/>
      <c r="X75" s="3" t="n"/>
      <c r="Y75" s="3">
        <f>SUM(F75:W75)</f>
        <v/>
      </c>
    </row>
    <row r="76">
      <c r="A76" s="3" t="inlineStr">
        <is>
          <t>SN2201 AC</t>
        </is>
      </c>
      <c r="B76" s="3" t="n"/>
      <c r="C76" s="3" t="inlineStr">
        <is>
          <t>SN2201 AC</t>
        </is>
      </c>
      <c r="D76" s="3" t="n"/>
      <c r="E76" s="3" t="inlineStr">
        <is>
          <t>Other</t>
        </is>
      </c>
      <c r="F76" s="3" t="inlineStr">
        <is>
          <t>Scale Out Networking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4" t="n">
        <v>90</v>
      </c>
      <c r="V76" s="4" t="n">
        <v>90</v>
      </c>
      <c r="W76" s="4" t="n">
        <v>187</v>
      </c>
      <c r="X76" s="4" t="n">
        <v>115</v>
      </c>
      <c r="Y76" s="3">
        <f>SUM(F76:W76)</f>
        <v/>
      </c>
    </row>
    <row r="77">
      <c r="A77" s="3" t="inlineStr">
        <is>
          <t>SN4700</t>
        </is>
      </c>
      <c r="B77" s="3" t="n"/>
      <c r="C77" s="3" t="inlineStr">
        <is>
          <t>SN4700</t>
        </is>
      </c>
      <c r="D77" s="3" t="n"/>
      <c r="E77" s="3" t="inlineStr">
        <is>
          <t>Other</t>
        </is>
      </c>
      <c r="F77" s="3" t="inlineStr">
        <is>
          <t>Scale Out Networking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4" t="n">
        <v>24</v>
      </c>
      <c r="V77" s="4" t="n">
        <v>24</v>
      </c>
      <c r="W77" s="4" t="n">
        <v>42</v>
      </c>
      <c r="X77" s="4" t="n">
        <v>26</v>
      </c>
      <c r="Y77" s="3">
        <f>SUM(F77:W77)</f>
        <v/>
      </c>
    </row>
    <row r="78">
      <c r="A78" s="3" t="inlineStr">
        <is>
          <t>SN5610</t>
        </is>
      </c>
      <c r="B78" s="3" t="n"/>
      <c r="C78" s="3" t="inlineStr">
        <is>
          <t>SN5610</t>
        </is>
      </c>
      <c r="D78" s="3" t="n"/>
      <c r="E78" s="3" t="inlineStr">
        <is>
          <t>Other</t>
        </is>
      </c>
      <c r="F78" s="3" t="inlineStr">
        <is>
          <t>Scale Out Networking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4" t="n">
        <v>86</v>
      </c>
      <c r="V78" s="4" t="n">
        <v>86</v>
      </c>
      <c r="W78" s="4" t="n">
        <v>230</v>
      </c>
      <c r="X78" s="4" t="n">
        <v>134</v>
      </c>
      <c r="Y78" s="3">
        <f>SUM(F78:W78)</f>
        <v/>
      </c>
    </row>
    <row r="79">
      <c r="A79" s="3" t="inlineStr">
        <is>
          <t>SN6800-LD</t>
        </is>
      </c>
      <c r="B79" s="3" t="n"/>
      <c r="C79" s="3" t="inlineStr">
        <is>
          <t>SN6800-LD</t>
        </is>
      </c>
      <c r="D79" s="3" t="n"/>
      <c r="E79" s="3" t="inlineStr">
        <is>
          <t>Switch</t>
        </is>
      </c>
      <c r="F79" s="3" t="inlineStr">
        <is>
          <t>Scale Out Networking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>
        <v>96</v>
      </c>
      <c r="W79" s="4" t="n">
        <v>208</v>
      </c>
      <c r="X79" s="4" t="n">
        <v>144</v>
      </c>
      <c r="Y79" s="3">
        <f>SUM(F79:W79)</f>
        <v/>
      </c>
    </row>
    <row r="80">
      <c r="A80" s="3" t="inlineStr">
        <is>
          <t>SN6810-LD</t>
        </is>
      </c>
      <c r="B80" s="3" t="n"/>
      <c r="C80" s="3" t="inlineStr">
        <is>
          <t>SN6810-LD</t>
        </is>
      </c>
      <c r="D80" s="3" t="n"/>
      <c r="E80" s="3" t="inlineStr">
        <is>
          <t>Switch</t>
        </is>
      </c>
      <c r="F80" s="3" t="inlineStr">
        <is>
          <t>Scale Out Networking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4" t="n">
        <v>384</v>
      </c>
      <c r="V80" s="3" t="n"/>
      <c r="W80" s="3" t="n"/>
      <c r="X80" s="3" t="n"/>
      <c r="Y80" s="3">
        <f>SUM(F80:W80)</f>
        <v/>
      </c>
    </row>
    <row r="81">
      <c r="A81" s="3" t="inlineStr">
        <is>
          <t>Shuffle 4x4 units</t>
        </is>
      </c>
      <c r="B81" s="3" t="inlineStr">
        <is>
          <t>CommScope</t>
        </is>
      </c>
      <c r="C81" s="3" t="n"/>
      <c r="D81" s="3" t="n"/>
      <c r="E81" s="3" t="inlineStr">
        <is>
          <t>Rack</t>
        </is>
      </c>
      <c r="F81" s="3" t="inlineStr">
        <is>
          <t>Patch Panels / Shuffle Components</t>
        </is>
      </c>
      <c r="G81" s="3" t="n">
        <v>0</v>
      </c>
      <c r="H81" s="3" t="n">
        <v>0</v>
      </c>
      <c r="I81" s="4" t="n">
        <v>144</v>
      </c>
      <c r="J81" s="3" t="n">
        <v>0</v>
      </c>
      <c r="K81" s="4" t="n">
        <v>18288</v>
      </c>
      <c r="L81" s="3" t="n">
        <v>0</v>
      </c>
      <c r="M81" s="4" t="n">
        <v>7560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/>
      <c r="V81" s="3" t="n"/>
      <c r="W81" s="3" t="n"/>
      <c r="X81" s="3" t="n"/>
      <c r="Y81" s="3">
        <f>SUM(F81:W81)</f>
        <v/>
      </c>
    </row>
    <row r="82">
      <c r="A82" s="3" t="inlineStr">
        <is>
          <t>T1-NtwkRack</t>
        </is>
      </c>
      <c r="B82" s="3" t="n"/>
      <c r="C82" s="3" t="inlineStr">
        <is>
          <t>T1-NtwkRack</t>
        </is>
      </c>
      <c r="D82" s="3" t="n"/>
      <c r="E82" s="3" t="inlineStr">
        <is>
          <t>Other</t>
        </is>
      </c>
      <c r="F82" s="3" t="inlineStr">
        <is>
          <t>Scale Out Networking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4" t="n">
        <v>32</v>
      </c>
      <c r="V82" s="3" t="n"/>
      <c r="W82" s="3" t="n"/>
      <c r="X82" s="3" t="n"/>
      <c r="Y82" s="3">
        <f>SUM(F82:W82)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Model/PN</t>
        </is>
      </c>
      <c r="B1" s="1" t="inlineStr">
        <is>
          <t>Description</t>
        </is>
      </c>
      <c r="C1" s="1" t="inlineStr">
        <is>
          <t>NVIDIA Generic Part number</t>
        </is>
      </c>
      <c r="D1" s="1" t="inlineStr">
        <is>
          <t>Dell PN</t>
        </is>
      </c>
      <c r="E1" s="1" t="inlineStr">
        <is>
          <t>Category</t>
        </is>
      </c>
      <c r="F1" s="1" t="inlineStr">
        <is>
          <t>BOM - NETWORK - 2026-08-24- IREN -  512 Racks -(B300) - Mackenzie - 512 GPU Storage Testing [Locked]_UNLOCKED.xlsx</t>
        </is>
      </c>
      <c r="G1" s="1" t="inlineStr">
        <is>
          <t>BOM - NETWORK - 2026-09-023 - IREN -  256 Racks - 8192-GPU (B300)_GOLDEN.xlsx</t>
        </is>
      </c>
      <c r="H1" s="1" t="inlineStr">
        <is>
          <t>BOM - NETWORK - 2026-09-04- IREN - PS - VR72 4x Test Racks [Quote]_UNLOCKED.xlsx</t>
        </is>
      </c>
      <c r="I1" s="1" t="inlineStr">
        <is>
          <t>BOM - NETWORK - 2026-09-11- IREN - 50MW 252 Racks - Sweetwater VR NVL72_SN6600-LD_CORE [Quoted]_UNLOCKED.xlsx</t>
        </is>
      </c>
      <c r="J1" s="1" t="inlineStr">
        <is>
          <t>BOM - NETWORK - 2026-09-11- IREN - 50MW 252 Racks - Sweetwater VR NVL72_SN6600-LD_DH [Quoted]_UNLOCKED.xlsx</t>
        </is>
      </c>
      <c r="K1" s="1" t="inlineStr">
        <is>
          <t>BOM - NETWORK - 2026-09-15- IREN CHLD_HORIZON_210 Racks - VR NVL72_SN6600-LD_Core-GOLDEN [Quoting]_UNLOCKED.xlsx</t>
        </is>
      </c>
      <c r="L1" s="1" t="inlineStr">
        <is>
          <t>BOM - NETWORK - 2026-09-15- IREN CHLD_HORIZON_210 Racks - VR NVL72_SN6600-LD_DH_GOLDEN [Quoting]_UNLOCKED.xlsx</t>
        </is>
      </c>
      <c r="M1" s="1" t="inlineStr">
        <is>
          <t>BOM - NETWORK - 2026-09-23 - IREN -  256 Racks - 8192-GPU (B200).xlsx</t>
        </is>
      </c>
      <c r="N1" s="1" t="inlineStr">
        <is>
          <t>BOM - NETWORK - 2026-09-23 - IREN -  B4-5 256 Racks - 8192-GPU (B200).xlsx</t>
        </is>
      </c>
      <c r="O1" s="1" t="inlineStr">
        <is>
          <t>PNL-NETWORK BOM-2026-09-23-Anthropic-Australia_Q1_Q2-21k GPUs VR NVL72.xlsx</t>
        </is>
      </c>
      <c r="P1" s="1" t="inlineStr">
        <is>
          <t>PNL-NETWORK BOM-2026-09-23-Anthropic-Canada_Q2-32k GPUs VR NVL72.xlsx</t>
        </is>
      </c>
      <c r="Q1" s="1" t="inlineStr">
        <is>
          <t>PNL-NETWORK BOM-2026-09-24-Anthropic-US-Q1-Q2-Cluster1-129k GPUs VR NVL72.xlsx</t>
        </is>
      </c>
      <c r="R1" s="1" t="inlineStr">
        <is>
          <t>PNL-NETWORK BOM-2026-09-24-Anthropic-US-Q1-Q2-Cluster2-129k GPUs VR NVL72.xlsx</t>
        </is>
      </c>
      <c r="S1" s="1" t="inlineStr">
        <is>
          <t>PNL-NETWORK BOM-2026-09-25-Anthropic-US_Q1_Q2-Cluster3-9k GPUs VR NVL72.xlsx</t>
        </is>
      </c>
      <c r="T1" s="1" t="inlineStr">
        <is>
          <t>Narvik-8k-6810</t>
        </is>
      </c>
      <c r="U1" s="1" t="inlineStr">
        <is>
          <t>Narvik-8k</t>
        </is>
      </c>
      <c r="V1" s="1" t="inlineStr">
        <is>
          <t>Narvik-17k</t>
        </is>
      </c>
      <c r="W1" s="1" t="inlineStr">
        <is>
          <t>US-TBD-18k</t>
        </is>
      </c>
      <c r="X1" s="1" t="inlineStr">
        <is>
          <t>Total Quantity</t>
        </is>
      </c>
    </row>
    <row r="2">
      <c r="F2" s="2" t="inlineStr">
        <is>
          <t>IREN</t>
        </is>
      </c>
      <c r="G2" s="2" t="inlineStr">
        <is>
          <t>IREN</t>
        </is>
      </c>
      <c r="H2" s="2" t="inlineStr">
        <is>
          <t>IREN</t>
        </is>
      </c>
      <c r="I2" s="2" t="inlineStr">
        <is>
          <t>IREN</t>
        </is>
      </c>
      <c r="J2" s="2" t="inlineStr">
        <is>
          <t>IREN</t>
        </is>
      </c>
      <c r="K2" s="2" t="inlineStr">
        <is>
          <t>IREN</t>
        </is>
      </c>
      <c r="L2" s="2" t="inlineStr">
        <is>
          <t>IREN</t>
        </is>
      </c>
      <c r="M2" s="2" t="inlineStr">
        <is>
          <t>IREN</t>
        </is>
      </c>
      <c r="N2" s="2" t="inlineStr">
        <is>
          <t>IREN</t>
        </is>
      </c>
      <c r="O2" s="2" t="inlineStr">
        <is>
          <t>Anthropic</t>
        </is>
      </c>
      <c r="P2" s="2" t="inlineStr">
        <is>
          <t>Anthropic</t>
        </is>
      </c>
      <c r="Q2" s="2" t="inlineStr">
        <is>
          <t>Anthropic</t>
        </is>
      </c>
      <c r="R2" s="2" t="inlineStr">
        <is>
          <t>Anthropic</t>
        </is>
      </c>
      <c r="S2" s="2" t="inlineStr">
        <is>
          <t>Anthropic</t>
        </is>
      </c>
      <c r="T2" s="2" t="inlineStr">
        <is>
          <t>NScale</t>
        </is>
      </c>
      <c r="U2" s="2" t="inlineStr">
        <is>
          <t>NScale</t>
        </is>
      </c>
      <c r="V2" s="2" t="inlineStr">
        <is>
          <t>NScale</t>
        </is>
      </c>
      <c r="W2" s="2" t="inlineStr">
        <is>
          <t>NScale</t>
        </is>
      </c>
    </row>
    <row r="3">
      <c r="F3" s="2" t="inlineStr">
        <is>
          <t>Mackenzie, BC</t>
        </is>
      </c>
      <c r="G3" s="2" t="inlineStr">
        <is>
          <t>Childress, TX</t>
        </is>
      </c>
      <c r="H3" s="2" t="inlineStr">
        <is>
          <t>Prince George, BC</t>
        </is>
      </c>
      <c r="I3" s="2" t="inlineStr">
        <is>
          <t>Sweetwater, BC</t>
        </is>
      </c>
      <c r="J3" s="2" t="inlineStr">
        <is>
          <t>Sweetwater, BC</t>
        </is>
      </c>
      <c r="K3" s="2" t="inlineStr">
        <is>
          <t>Horizon, AB</t>
        </is>
      </c>
      <c r="L3" s="2" t="inlineStr">
        <is>
          <t>Horizon, AB</t>
        </is>
      </c>
      <c r="M3" s="2" t="inlineStr">
        <is>
          <t>Childress, TX</t>
        </is>
      </c>
      <c r="N3" s="2" t="inlineStr">
        <is>
          <t>Childress, TX</t>
        </is>
      </c>
      <c r="O3" s="2" t="inlineStr">
        <is>
          <t>Australia</t>
        </is>
      </c>
      <c r="P3" s="2" t="inlineStr">
        <is>
          <t>Canada</t>
        </is>
      </c>
      <c r="Q3" s="2" t="inlineStr">
        <is>
          <t>US-Cluster1</t>
        </is>
      </c>
      <c r="R3" s="2" t="inlineStr">
        <is>
          <t>US-Cluster2</t>
        </is>
      </c>
      <c r="S3" s="2" t="inlineStr">
        <is>
          <t>US-Cluster3</t>
        </is>
      </c>
      <c r="T3" s="2" t="inlineStr">
        <is>
          <t>Narvik, Norway</t>
        </is>
      </c>
      <c r="U3" s="2" t="inlineStr">
        <is>
          <t>Narvik, Norway</t>
        </is>
      </c>
      <c r="V3" s="2" t="inlineStr">
        <is>
          <t>Narvik, Norway</t>
        </is>
      </c>
      <c r="W3" s="2" t="inlineStr">
        <is>
          <t>US-TBD</t>
        </is>
      </c>
    </row>
    <row r="4">
      <c r="A4" t="inlineStr">
        <is>
          <t>Delivery Date</t>
        </is>
      </c>
    </row>
    <row r="5">
      <c r="A5" s="3" t="inlineStr">
        <is>
          <t>470-ABGH</t>
        </is>
      </c>
      <c r="B5" s="3" t="inlineStr">
        <is>
          <t>CBL-MPO12-4LC-SM-5M</t>
        </is>
      </c>
      <c r="C5" s="3" t="n"/>
      <c r="D5" s="3" t="n"/>
      <c r="E5" s="3" t="inlineStr">
        <is>
          <t>Cables</t>
        </is>
      </c>
      <c r="F5" s="4" t="n">
        <v>92</v>
      </c>
      <c r="G5" s="3" t="n">
        <v>0</v>
      </c>
      <c r="H5" s="3" t="n">
        <v>0</v>
      </c>
      <c r="I5" s="4" t="n">
        <v>16</v>
      </c>
      <c r="J5" s="4" t="n">
        <v>360</v>
      </c>
      <c r="K5" s="4" t="n">
        <v>32</v>
      </c>
      <c r="L5" s="4" t="n">
        <v>128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inlineStr"/>
      <c r="U5" s="3" t="inlineStr"/>
      <c r="V5" s="3" t="inlineStr"/>
      <c r="W5" s="3" t="inlineStr"/>
      <c r="X5" s="4">
        <f>SUM(F5:W5)</f>
        <v/>
      </c>
    </row>
    <row r="6">
      <c r="A6" s="3" t="inlineStr">
        <is>
          <t>920-9N110-00F1-0C0</t>
        </is>
      </c>
      <c r="B6" s="3" t="inlineStr">
        <is>
          <t>NVDA SN2201 48x1GBaseT, 1U, 2AC PSU, P2C (P/I) Airflow, w/ Cumulus[MSN2201-CB2FC]</t>
        </is>
      </c>
      <c r="C6" s="3" t="inlineStr">
        <is>
          <t>920-9N110-00F1-0C0</t>
        </is>
      </c>
      <c r="D6" s="3" t="inlineStr">
        <is>
          <t>FTV62</t>
        </is>
      </c>
      <c r="E6" s="3" t="inlineStr">
        <is>
          <t>Switch</t>
        </is>
      </c>
      <c r="F6" s="3" t="n">
        <v>0</v>
      </c>
      <c r="G6" s="3" t="n">
        <v>0</v>
      </c>
      <c r="H6" s="4" t="n">
        <v>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inlineStr"/>
      <c r="U6" s="3" t="inlineStr"/>
      <c r="V6" s="3" t="inlineStr"/>
      <c r="W6" s="3" t="inlineStr"/>
      <c r="X6" s="4">
        <f>SUM(F6:W6)</f>
        <v/>
      </c>
    </row>
    <row r="7">
      <c r="A7" s="3" t="inlineStr">
        <is>
          <t>920-9N110-00R1- 0C0</t>
        </is>
      </c>
      <c r="B7" s="3" t="inlineStr">
        <is>
          <t>NVDA SN2201 48x1GBaseT, 1U, 2AC PSU, C2P (I/P) Airflow, w/ Cumulus[MSN2201-CB2RC]</t>
        </is>
      </c>
      <c r="C7" s="3" t="inlineStr">
        <is>
          <t>920-9N110-00R1-0C0</t>
        </is>
      </c>
      <c r="D7" s="3" t="inlineStr">
        <is>
          <t>TX78X</t>
        </is>
      </c>
      <c r="E7" s="3" t="inlineStr">
        <is>
          <t>Switch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205</v>
      </c>
      <c r="N7" s="4" t="n">
        <v>198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inlineStr"/>
      <c r="U7" s="3" t="inlineStr"/>
      <c r="V7" s="3" t="inlineStr"/>
      <c r="W7" s="3" t="inlineStr"/>
      <c r="X7" s="4">
        <f>SUM(F7:W7)</f>
        <v/>
      </c>
    </row>
    <row r="8">
      <c r="A8" s="3" t="inlineStr">
        <is>
          <t>920-9N110-00R1-NC0</t>
        </is>
      </c>
      <c r="B8" s="3" t="inlineStr">
        <is>
          <t>SN2201 48x1G + 4x100G, DC Busbar Air Cooled</t>
        </is>
      </c>
      <c r="C8" s="3" t="inlineStr">
        <is>
          <t>920-9N110-00R1-NC0</t>
        </is>
      </c>
      <c r="D8" s="3" t="inlineStr">
        <is>
          <t>J2MV9</t>
        </is>
      </c>
      <c r="E8" s="3" t="inlineStr">
        <is>
          <t>Switch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4" t="n">
        <v>116</v>
      </c>
      <c r="P8" s="4" t="n">
        <v>160</v>
      </c>
      <c r="Q8" s="4" t="n">
        <v>764</v>
      </c>
      <c r="R8" s="4" t="n">
        <v>764</v>
      </c>
      <c r="S8" s="4" t="n">
        <v>52</v>
      </c>
      <c r="T8" s="3" t="inlineStr"/>
      <c r="U8" s="3" t="inlineStr"/>
      <c r="V8" s="3" t="inlineStr"/>
      <c r="W8" s="3" t="inlineStr"/>
      <c r="X8" s="4">
        <f>SUM(F8:W8)</f>
        <v/>
      </c>
    </row>
    <row r="9">
      <c r="A9" s="3" t="inlineStr">
        <is>
          <t>920-9N110-01R1-NC0 (DPN: J2MV9)</t>
        </is>
      </c>
      <c r="B9" s="3" t="inlineStr">
        <is>
          <t>NVDA SN2201 48x1G (BT), 2AC PSU, C2P (I/P) Airflow, w/ BusBar, w/ Cumulus[MSN2201-CSMRC]</t>
        </is>
      </c>
      <c r="C9" s="3" t="inlineStr">
        <is>
          <t>920-9N110-00R1-NC0</t>
        </is>
      </c>
      <c r="D9" s="3" t="inlineStr">
        <is>
          <t>J2MV9</t>
        </is>
      </c>
      <c r="E9" s="3" t="inlineStr">
        <is>
          <t>Switch</t>
        </is>
      </c>
      <c r="F9" s="3" t="n">
        <v>0</v>
      </c>
      <c r="G9" s="3" t="n">
        <v>0</v>
      </c>
      <c r="H9" s="4" t="n">
        <v>8</v>
      </c>
      <c r="I9" s="4" t="n">
        <v>21</v>
      </c>
      <c r="J9" s="4" t="n">
        <v>92</v>
      </c>
      <c r="K9" s="4" t="n">
        <v>28</v>
      </c>
      <c r="L9" s="4" t="n">
        <v>75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inlineStr"/>
      <c r="U9" s="3" t="inlineStr"/>
      <c r="V9" s="3" t="inlineStr"/>
      <c r="W9" s="3" t="inlineStr"/>
      <c r="X9" s="4">
        <f>SUM(F9:W9)</f>
        <v/>
      </c>
    </row>
    <row r="10">
      <c r="A10" s="3" t="inlineStr">
        <is>
          <t>920-9N301-00RB-0C0</t>
        </is>
      </c>
      <c r="B10" s="3" t="inlineStr">
        <is>
          <t>NVDA SN4700 400GbE, 32xQSFPDD, 1U, 2AC PSU, C2P (I/P) Airflow, w/ Cumulus[MSN4700-WS2RC]</t>
        </is>
      </c>
      <c r="C10" s="3" t="inlineStr">
        <is>
          <t>920-9N301-00RB-0C0</t>
        </is>
      </c>
      <c r="D10" s="3" t="inlineStr">
        <is>
          <t>7F0JN</t>
        </is>
      </c>
      <c r="E10" s="3" t="inlineStr">
        <is>
          <t>Switch</t>
        </is>
      </c>
      <c r="F10" s="4" t="n">
        <v>2</v>
      </c>
      <c r="G10" s="4" t="n">
        <v>4</v>
      </c>
      <c r="H10" s="4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4</v>
      </c>
      <c r="N10" s="4" t="n">
        <v>4</v>
      </c>
      <c r="O10" s="4" t="n">
        <v>6</v>
      </c>
      <c r="P10" s="4" t="n">
        <v>6</v>
      </c>
      <c r="Q10" s="4" t="n">
        <v>8</v>
      </c>
      <c r="R10" s="4" t="n">
        <v>8</v>
      </c>
      <c r="S10" s="4" t="n">
        <v>6</v>
      </c>
      <c r="T10" s="3" t="inlineStr"/>
      <c r="U10" s="3" t="inlineStr"/>
      <c r="V10" s="3" t="inlineStr"/>
      <c r="W10" s="3" t="inlineStr"/>
      <c r="X10" s="4">
        <f>SUM(F10:W10)</f>
        <v/>
      </c>
    </row>
    <row r="11">
      <c r="A11" s="3" t="inlineStr">
        <is>
          <t>920-9N301-00RB-NC0</t>
        </is>
      </c>
      <c r="B11" s="3" t="inlineStr">
        <is>
          <t>SN4700D, Spectrum-3 based 400GbE 1U Open Ethernet Switch, 32 QSFPDD ports, 48VDC Busbar, x86 CPU, standard depth, C2P airflow, Rail Kit, with Cumulus</t>
        </is>
      </c>
      <c r="C11" s="3" t="inlineStr">
        <is>
          <t>920-9N301-00RB-NC0</t>
        </is>
      </c>
      <c r="D11" s="3" t="n"/>
      <c r="E11" s="3" t="inlineStr">
        <is>
          <t>Switch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4" t="n">
        <v>42</v>
      </c>
      <c r="P11" s="4" t="n">
        <v>64</v>
      </c>
      <c r="Q11" s="4" t="n">
        <v>256</v>
      </c>
      <c r="R11" s="4" t="n">
        <v>256</v>
      </c>
      <c r="S11" s="4" t="n">
        <v>18</v>
      </c>
      <c r="T11" s="3" t="inlineStr"/>
      <c r="U11" s="3" t="inlineStr"/>
      <c r="V11" s="3" t="inlineStr"/>
      <c r="W11" s="3" t="inlineStr"/>
      <c r="X11" s="4">
        <f>SUM(F11:W11)</f>
        <v/>
      </c>
    </row>
    <row r="12">
      <c r="A12" s="3" t="inlineStr">
        <is>
          <t>920-9N42F-00RI-3C1</t>
        </is>
      </c>
      <c r="B12" s="3" t="inlineStr">
        <is>
          <t>NVDA SN5610 2U 64xOSFP112, 4xAC PSU, C2P (I/P) Airflow, w/ Cumulus[MSN5610???]</t>
        </is>
      </c>
      <c r="C12" s="3" t="inlineStr">
        <is>
          <t>920-9N42F-00RI-3C1</t>
        </is>
      </c>
      <c r="D12" s="3" t="inlineStr">
        <is>
          <t>52MJM</t>
        </is>
      </c>
      <c r="E12" s="3" t="inlineStr">
        <is>
          <t>Switch</t>
        </is>
      </c>
      <c r="F12" s="4" t="n">
        <v>46</v>
      </c>
      <c r="G12" s="4" t="n">
        <v>428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4" t="n">
        <v>2</v>
      </c>
      <c r="P12" s="4" t="n">
        <v>2</v>
      </c>
      <c r="Q12" s="4" t="n">
        <v>2</v>
      </c>
      <c r="R12" s="4" t="n">
        <v>2</v>
      </c>
      <c r="S12" s="4" t="n">
        <v>2</v>
      </c>
      <c r="T12" s="3" t="inlineStr"/>
      <c r="U12" s="3" t="inlineStr"/>
      <c r="V12" s="3" t="inlineStr"/>
      <c r="W12" s="3" t="inlineStr"/>
      <c r="X12" s="4">
        <f>SUM(F12:W12)</f>
        <v/>
      </c>
    </row>
    <row r="13">
      <c r="A13" s="3" t="inlineStr">
        <is>
          <t>920-9N42F-00RI-KC0</t>
        </is>
      </c>
      <c r="B13" s="3" t="inlineStr">
        <is>
          <t>NVDA SN5600D 2U 64xOSFP112, DC BusBar, C2P (I/P) Airflow, w/ Cumulus[MSN5600D???]</t>
        </is>
      </c>
      <c r="C13" s="3" t="inlineStr">
        <is>
          <t>920-9N42F-00RI-KC0</t>
        </is>
      </c>
      <c r="D13" s="3" t="inlineStr">
        <is>
          <t>CTT0V</t>
        </is>
      </c>
      <c r="E13" s="3" t="inlineStr">
        <is>
          <t>Switch</t>
        </is>
      </c>
      <c r="F13" s="3" t="n">
        <v>0</v>
      </c>
      <c r="G13" s="3" t="n">
        <v>0</v>
      </c>
      <c r="H13" s="3" t="n">
        <v>0</v>
      </c>
      <c r="I13" s="4" t="n">
        <v>70</v>
      </c>
      <c r="J13" s="4" t="n">
        <v>338</v>
      </c>
      <c r="K13" s="4" t="n">
        <v>94</v>
      </c>
      <c r="L13" s="4" t="n">
        <v>280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inlineStr"/>
      <c r="U13" s="3" t="inlineStr"/>
      <c r="V13" s="3" t="inlineStr"/>
      <c r="W13" s="3" t="inlineStr"/>
      <c r="X13" s="4">
        <f>SUM(F13:W13)</f>
        <v/>
      </c>
    </row>
    <row r="14">
      <c r="A14" s="3" t="inlineStr">
        <is>
          <t>920-9N62F-00LI-GC1</t>
        </is>
      </c>
      <c r="B14" s="3" t="inlineStr">
        <is>
          <t>SN6600-LD - NVIDIA Spectrum-6 based 800GbE Ethernet switch with Cumulus Linux Authentication, 64 OSFP, 1 QSFP112, 48VDC Busbar, 8-Cores CPU, Secure-boot, Liquid-Cooling, Rail-Kit.</t>
        </is>
      </c>
      <c r="C14" s="3" t="inlineStr">
        <is>
          <t>920-9N62F-00LI-GC1</t>
        </is>
      </c>
      <c r="D14" s="3" t="inlineStr">
        <is>
          <t>3KF5K</t>
        </is>
      </c>
      <c r="E14" s="3" t="inlineStr">
        <is>
          <t>Switch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1176</v>
      </c>
      <c r="P14" s="4" t="n">
        <v>1528</v>
      </c>
      <c r="Q14" s="4" t="n">
        <v>6112</v>
      </c>
      <c r="R14" s="4" t="n">
        <v>6112</v>
      </c>
      <c r="S14" s="4" t="n">
        <v>544</v>
      </c>
      <c r="T14" s="3" t="inlineStr"/>
      <c r="U14" s="3" t="inlineStr"/>
      <c r="V14" s="3" t="inlineStr"/>
      <c r="W14" s="3" t="inlineStr"/>
      <c r="X14" s="4">
        <f>SUM(F14:W14)</f>
        <v/>
      </c>
    </row>
    <row r="15">
      <c r="A15" s="3" t="inlineStr">
        <is>
          <t>980-9I042-00C000</t>
        </is>
      </c>
      <c r="B15" s="3" t="inlineStr">
        <is>
          <t>NVDA XCVR, 100GbE, QSFP28, LC, 1310nm, Single Mode 1-lane (DR1), IP[MMS1V70-CM]</t>
        </is>
      </c>
      <c r="C15" s="3" t="inlineStr">
        <is>
          <t>980-9I042-00C000</t>
        </is>
      </c>
      <c r="D15" s="3" t="inlineStr">
        <is>
          <t>8XTGF</t>
        </is>
      </c>
      <c r="E15" s="3" t="inlineStr">
        <is>
          <t>Transceiver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4" t="n">
        <v>1502</v>
      </c>
      <c r="P15" s="4" t="n">
        <v>2250</v>
      </c>
      <c r="Q15" s="4" t="n">
        <v>9222</v>
      </c>
      <c r="R15" s="4" t="n">
        <v>9222</v>
      </c>
      <c r="S15" s="4" t="n">
        <v>654</v>
      </c>
      <c r="T15" s="3" t="inlineStr"/>
      <c r="U15" s="3" t="inlineStr"/>
      <c r="V15" s="3" t="inlineStr"/>
      <c r="W15" s="3" t="inlineStr"/>
      <c r="X15" s="4">
        <f>SUM(F15:W15)</f>
        <v/>
      </c>
    </row>
    <row r="16">
      <c r="A16" s="3" t="inlineStr">
        <is>
          <t>980-9I16Y-00W000</t>
        </is>
      </c>
      <c r="B16" s="3" t="inlineStr">
        <is>
          <t>NVDA  400G to 4x100, QSFD-DD,MPO,1310nm SMF, up to 500m, DR4 [MMS1V00-WM]</t>
        </is>
      </c>
      <c r="C16" s="3" t="inlineStr">
        <is>
          <t>980-9I16Y-00W000</t>
        </is>
      </c>
      <c r="D16" s="3" t="inlineStr">
        <is>
          <t>NRW8Y</t>
        </is>
      </c>
      <c r="E16" s="3" t="inlineStr">
        <is>
          <t>Transceiver</t>
        </is>
      </c>
      <c r="F16" s="4" t="n">
        <v>48</v>
      </c>
      <c r="G16" s="4" t="n">
        <v>32</v>
      </c>
      <c r="H16" s="4" t="n">
        <v>24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16</v>
      </c>
      <c r="N16" s="4" t="n">
        <v>16</v>
      </c>
      <c r="O16" s="4" t="n">
        <v>67</v>
      </c>
      <c r="P16" s="4" t="n">
        <v>89</v>
      </c>
      <c r="Q16" s="4" t="n">
        <v>2183</v>
      </c>
      <c r="R16" s="4" t="n">
        <v>2183</v>
      </c>
      <c r="S16" s="4" t="n">
        <v>152</v>
      </c>
      <c r="T16" s="3" t="inlineStr"/>
      <c r="U16" s="3" t="inlineStr"/>
      <c r="V16" s="3" t="inlineStr"/>
      <c r="W16" s="3" t="inlineStr"/>
      <c r="X16" s="4">
        <f>SUM(F16:W16)</f>
        <v/>
      </c>
    </row>
    <row r="17">
      <c r="A17" s="3" t="inlineStr">
        <is>
          <t>980-9I30G-F4NM00</t>
        </is>
      </c>
      <c r="B17" s="3" t="inlineStr">
        <is>
          <t>NVDA twin port XCVR, 800GbE,2x400,IPonly,O112,2xMPO12 APC,1310N SMF,to 500m,finned HIS[MMS4X00-NM-T]</t>
        </is>
      </c>
      <c r="C17" s="3" t="inlineStr">
        <is>
          <t>980-9I30G-F4NM00</t>
        </is>
      </c>
      <c r="D17" s="3" t="inlineStr">
        <is>
          <t>YW1C0</t>
        </is>
      </c>
      <c r="E17" s="3" t="inlineStr">
        <is>
          <t>Transceiver</t>
        </is>
      </c>
      <c r="F17" s="3" t="n">
        <v>0</v>
      </c>
      <c r="G17" s="3" t="n">
        <v>0</v>
      </c>
      <c r="H17" s="4" t="n">
        <v>20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792</v>
      </c>
      <c r="N17" s="4" t="n">
        <v>840</v>
      </c>
      <c r="O17" s="4" t="n">
        <v>16</v>
      </c>
      <c r="P17" s="4" t="n">
        <v>21</v>
      </c>
      <c r="Q17" s="4" t="n">
        <v>70</v>
      </c>
      <c r="R17" s="4" t="n">
        <v>70</v>
      </c>
      <c r="S17" s="4" t="n">
        <v>10</v>
      </c>
      <c r="T17" s="3" t="inlineStr"/>
      <c r="U17" s="3" t="inlineStr"/>
      <c r="V17" s="3" t="inlineStr"/>
      <c r="W17" s="3" t="inlineStr"/>
      <c r="X17" s="4">
        <f>SUM(F17:W17)</f>
        <v/>
      </c>
    </row>
    <row r="18">
      <c r="A18" s="3" t="inlineStr">
        <is>
          <t>980-9IAJ0-00XM00</t>
        </is>
      </c>
      <c r="B18" s="3" t="inlineStr">
        <is>
          <t>NVIDIA twin port XCVR, 2xDR4,1600Gbps,OSFP, 2xMPO(APC), 1310nm SMF, up to 500m, RHS, TRO, IP Only</t>
        </is>
      </c>
      <c r="C18" s="3" t="inlineStr">
        <is>
          <t>980-9IAJ0-00XM00</t>
        </is>
      </c>
      <c r="D18" s="3" t="inlineStr">
        <is>
          <t>M5G88</t>
        </is>
      </c>
      <c r="E18" s="3" t="inlineStr">
        <is>
          <t>Transceiver</t>
        </is>
      </c>
      <c r="F18" s="3" t="n">
        <v>0</v>
      </c>
      <c r="G18" s="3" t="n">
        <v>0</v>
      </c>
      <c r="H18" s="4" t="n">
        <v>288</v>
      </c>
      <c r="I18" s="3" t="n">
        <v>0</v>
      </c>
      <c r="J18" s="4" t="n">
        <v>54432</v>
      </c>
      <c r="K18" s="4" t="n">
        <v>15120</v>
      </c>
      <c r="L18" s="4" t="n">
        <v>30240</v>
      </c>
      <c r="M18" s="3" t="n">
        <v>0</v>
      </c>
      <c r="N18" s="3" t="n">
        <v>0</v>
      </c>
      <c r="O18" s="4" t="n">
        <v>84672</v>
      </c>
      <c r="P18" s="4" t="n">
        <v>129024</v>
      </c>
      <c r="Q18" s="4" t="n">
        <v>516096</v>
      </c>
      <c r="R18" s="4" t="n">
        <v>516096</v>
      </c>
      <c r="S18" s="4" t="n">
        <v>27360</v>
      </c>
      <c r="T18" s="3" t="inlineStr"/>
      <c r="U18" s="3" t="inlineStr"/>
      <c r="V18" s="3" t="inlineStr"/>
      <c r="W18" s="3" t="inlineStr"/>
      <c r="X18" s="4">
        <f>SUM(F18:W18)</f>
        <v/>
      </c>
    </row>
    <row r="19">
      <c r="A19" s="3" t="inlineStr">
        <is>
          <t>A7204378</t>
        </is>
      </c>
      <c r="B19" s="3" t="inlineStr">
        <is>
          <t>Switch Xcvr to LC Patch Panel LC-LC short leg patch cable, Other end is MPO to 4xLC to OOB Spine</t>
        </is>
      </c>
      <c r="C19" s="3" t="n"/>
      <c r="D19" s="3" t="n"/>
      <c r="E19" s="3" t="inlineStr">
        <is>
          <t>Cables</t>
        </is>
      </c>
      <c r="F19" s="3" t="n">
        <v>0</v>
      </c>
      <c r="G19" s="3" t="n">
        <v>0</v>
      </c>
      <c r="H19" s="4" t="n">
        <v>12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inlineStr"/>
      <c r="U19" s="3" t="inlineStr"/>
      <c r="V19" s="3" t="inlineStr"/>
      <c r="W19" s="3" t="inlineStr"/>
      <c r="X19" s="4">
        <f>SUM(F19:W19)</f>
        <v/>
      </c>
    </row>
    <row r="20">
      <c r="A20" s="3" t="inlineStr">
        <is>
          <t>Aircool AC Rack</t>
        </is>
      </c>
      <c r="B20" s="3" t="inlineStr"/>
      <c r="C20" s="3" t="inlineStr">
        <is>
          <t>Aircool AC Rack</t>
        </is>
      </c>
      <c r="D20" s="3" t="inlineStr"/>
      <c r="E20" s="3" t="inlineStr">
        <is>
          <t>Other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4" t="n">
        <v>28</v>
      </c>
      <c r="U20" s="4" t="n">
        <v>28</v>
      </c>
      <c r="V20" s="4" t="n">
        <v>50</v>
      </c>
      <c r="W20" s="4" t="n">
        <v>32</v>
      </c>
      <c r="X20" s="4">
        <f>SUM(F20:W20)</f>
        <v/>
      </c>
    </row>
    <row r="21">
      <c r="A21" s="3" t="inlineStr">
        <is>
          <t>C4X6C VSR4</t>
        </is>
      </c>
      <c r="B21" s="3" t="inlineStr">
        <is>
          <t>Hisense 80C multi‑mode QSFP112 transceiver</t>
        </is>
      </c>
      <c r="C21" s="3" t="n"/>
      <c r="D21" s="3" t="n"/>
      <c r="E21" s="3" t="inlineStr">
        <is>
          <t>Transceiver</t>
        </is>
      </c>
      <c r="F21" s="4" t="n">
        <v>176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4" t="n">
        <v>188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inlineStr"/>
      <c r="U21" s="3" t="inlineStr"/>
      <c r="V21" s="3" t="inlineStr"/>
      <c r="W21" s="3" t="inlineStr"/>
      <c r="X21" s="4">
        <f>SUM(F21:W21)</f>
        <v/>
      </c>
    </row>
    <row r="22">
      <c r="A22" s="3" t="inlineStr">
        <is>
          <t>CAT6 Thin 10M</t>
        </is>
      </c>
      <c r="B22" s="3" t="inlineStr"/>
      <c r="C22" s="3" t="inlineStr">
        <is>
          <t>CAT6 Thin 10M</t>
        </is>
      </c>
      <c r="D22" s="3" t="inlineStr"/>
      <c r="E22" s="3" t="inlineStr">
        <is>
          <t>Other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4" t="n">
        <v>4048</v>
      </c>
      <c r="U22" s="4" t="n">
        <v>4048</v>
      </c>
      <c r="V22" s="4" t="n">
        <v>8510</v>
      </c>
      <c r="W22" s="4" t="n">
        <v>5198</v>
      </c>
      <c r="X22" s="4">
        <f>SUM(F22:W22)</f>
        <v/>
      </c>
    </row>
    <row r="23">
      <c r="A23" s="3" t="inlineStr">
        <is>
          <t>CAT6 Thin 3M</t>
        </is>
      </c>
      <c r="B23" s="3" t="inlineStr"/>
      <c r="C23" s="3" t="inlineStr">
        <is>
          <t>CAT6 Thin 3M</t>
        </is>
      </c>
      <c r="D23" s="3" t="inlineStr"/>
      <c r="E23" s="3" t="inlineStr">
        <is>
          <t>Other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4" t="n">
        <v>10304</v>
      </c>
      <c r="U23" s="4" t="n">
        <v>10304</v>
      </c>
      <c r="V23" s="4" t="n">
        <v>21896</v>
      </c>
      <c r="W23" s="4" t="n">
        <v>11592</v>
      </c>
      <c r="X23" s="4">
        <f>SUM(F23:W23)</f>
        <v/>
      </c>
    </row>
    <row r="24">
      <c r="A24" s="3" t="inlineStr">
        <is>
          <t>Cat 6 Cable</t>
        </is>
      </c>
      <c r="B24" s="3" t="inlineStr">
        <is>
          <t>NVIDIA Spectrum-6 based 800GbE Ethernet switch with Cumulus Linux Authentication, 64 OSFP, 1 QSFP112, 48VDC Busbar, 8-Cores CPU, Secure-boot, Liquid-Cooling, Rail-Kit.D39</t>
        </is>
      </c>
      <c r="C24" s="3" t="n"/>
      <c r="D24" s="3" t="n"/>
      <c r="E24" s="3" t="inlineStr">
        <is>
          <t>Cables</t>
        </is>
      </c>
      <c r="F24" s="3" t="n">
        <v>0</v>
      </c>
      <c r="G24" s="3" t="n">
        <v>0</v>
      </c>
      <c r="H24" s="4" t="n">
        <v>32</v>
      </c>
      <c r="I24" s="3" t="n">
        <v>0</v>
      </c>
      <c r="J24" s="4" t="n">
        <v>864</v>
      </c>
      <c r="K24" s="4" t="n">
        <v>256</v>
      </c>
      <c r="L24" s="4" t="n">
        <v>480</v>
      </c>
      <c r="M24" s="4" t="n">
        <v>242</v>
      </c>
      <c r="N24" s="4" t="n">
        <v>234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inlineStr"/>
      <c r="U24" s="3" t="inlineStr"/>
      <c r="V24" s="3" t="inlineStr"/>
      <c r="W24" s="3" t="inlineStr"/>
      <c r="X24" s="4">
        <f>SUM(F24:W24)</f>
        <v/>
      </c>
    </row>
    <row r="25">
      <c r="A25" s="3" t="inlineStr">
        <is>
          <t>Corning 4x100 Breakout PP</t>
        </is>
      </c>
      <c r="B25" s="3" t="inlineStr">
        <is>
          <t>Final Count will come from Actual BOM</t>
        </is>
      </c>
      <c r="C25" s="3" t="n"/>
      <c r="D25" s="3" t="n"/>
      <c r="E25" s="3" t="inlineStr">
        <is>
          <t>Transceiver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24</v>
      </c>
      <c r="K25" s="4" t="n">
        <v>8</v>
      </c>
      <c r="L25" s="4" t="n">
        <v>24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inlineStr"/>
      <c r="U25" s="3" t="inlineStr"/>
      <c r="V25" s="3" t="inlineStr"/>
      <c r="W25" s="3" t="inlineStr"/>
      <c r="X25" s="4">
        <f>SUM(F25:W25)</f>
        <v/>
      </c>
    </row>
    <row r="26">
      <c r="A26" s="3" t="inlineStr">
        <is>
          <t>D3P20</t>
        </is>
      </c>
      <c r="B26" s="3" t="inlineStr">
        <is>
          <t>MOD,CBL,MPO12-APC,SMF,5M</t>
        </is>
      </c>
      <c r="C26" s="3" t="n"/>
      <c r="D26" s="3" t="n"/>
      <c r="E26" s="3" t="inlineStr">
        <is>
          <t>Cables</t>
        </is>
      </c>
      <c r="F26" s="4" t="n">
        <v>12</v>
      </c>
      <c r="G26" s="4" t="n">
        <v>24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8</v>
      </c>
      <c r="N26" s="4" t="n">
        <v>8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inlineStr"/>
      <c r="U26" s="3" t="inlineStr"/>
      <c r="V26" s="3" t="inlineStr"/>
      <c r="W26" s="3" t="inlineStr"/>
      <c r="X26" s="4">
        <f>SUM(F26:W26)</f>
        <v/>
      </c>
    </row>
    <row r="27">
      <c r="A27" s="3" t="inlineStr">
        <is>
          <t>DLC DC Rack</t>
        </is>
      </c>
      <c r="B27" s="3" t="inlineStr"/>
      <c r="C27" s="3" t="inlineStr">
        <is>
          <t>DLC DC Rack</t>
        </is>
      </c>
      <c r="D27" s="3" t="inlineStr"/>
      <c r="E27" s="3" t="inlineStr">
        <is>
          <t>Other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4" t="n">
        <v>48</v>
      </c>
      <c r="U27" s="4" t="n">
        <v>24</v>
      </c>
      <c r="V27" s="4" t="n">
        <v>52</v>
      </c>
      <c r="W27" s="4" t="n">
        <v>36</v>
      </c>
      <c r="X27" s="4">
        <f>SUM(F27:W27)</f>
        <v/>
      </c>
    </row>
    <row r="28">
      <c r="A28" s="3" t="inlineStr">
        <is>
          <t>EDGE-03U-8B2X2G</t>
        </is>
      </c>
      <c r="B28" s="3" t="inlineStr">
        <is>
          <t>3U EDGE Shuffling Housing, Holds 8_2x2 Type B Modules for 128 input x 128 output ports</t>
        </is>
      </c>
      <c r="C28" s="3" t="n"/>
      <c r="D28" s="3" t="n"/>
      <c r="E28" s="3" t="inlineStr">
        <is>
          <t>Rack</t>
        </is>
      </c>
      <c r="F28" s="4" t="n">
        <v>16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inlineStr"/>
      <c r="U28" s="3" t="inlineStr"/>
      <c r="V28" s="3" t="inlineStr"/>
      <c r="W28" s="3" t="inlineStr"/>
      <c r="X28" s="4">
        <f>SUM(F28:W28)</f>
        <v/>
      </c>
    </row>
    <row r="29">
      <c r="A29" s="3" t="inlineStr">
        <is>
          <t>Fiber Jumper Cable</t>
        </is>
      </c>
      <c r="B29" s="3" t="n"/>
      <c r="C29" s="3" t="n"/>
      <c r="D29" s="3" t="n"/>
      <c r="E29" s="3" t="inlineStr">
        <is>
          <t>Cables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72576</v>
      </c>
      <c r="K29" s="3" t="n">
        <v>0</v>
      </c>
      <c r="L29" s="4" t="n">
        <v>30240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inlineStr"/>
      <c r="U29" s="3" t="inlineStr"/>
      <c r="V29" s="3" t="inlineStr"/>
      <c r="W29" s="3" t="inlineStr"/>
      <c r="X29" s="4">
        <f>SUM(F29:W29)</f>
        <v/>
      </c>
    </row>
    <row r="30">
      <c r="A30" s="3" t="inlineStr">
        <is>
          <t>Fiber Jumper cables</t>
        </is>
      </c>
      <c r="B30" s="3" t="inlineStr">
        <is>
          <t>Jumper cables from shiuffle box to leaf</t>
        </is>
      </c>
      <c r="C30" s="3" t="n"/>
      <c r="D30" s="3" t="n"/>
      <c r="E30" s="3" t="inlineStr">
        <is>
          <t>Cables</t>
        </is>
      </c>
      <c r="F30" s="3" t="n">
        <v>0</v>
      </c>
      <c r="G30" s="3" t="n">
        <v>0</v>
      </c>
      <c r="H30" s="4" t="n">
        <v>576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inlineStr"/>
      <c r="U30" s="3" t="inlineStr"/>
      <c r="V30" s="3" t="inlineStr"/>
      <c r="W30" s="3" t="inlineStr"/>
      <c r="X30" s="4">
        <f>SUM(F30:W30)</f>
        <v/>
      </c>
    </row>
    <row r="31">
      <c r="A31" s="3" t="inlineStr">
        <is>
          <t>Fiber panel T1-NtwkRack</t>
        </is>
      </c>
      <c r="B31" s="3" t="inlineStr"/>
      <c r="C31" s="3" t="inlineStr">
        <is>
          <t>Fiber panel T1-NtwkRack</t>
        </is>
      </c>
      <c r="D31" s="3" t="inlineStr"/>
      <c r="E31" s="3" t="inlineStr">
        <is>
          <t>Rack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4" t="n">
        <v>256</v>
      </c>
      <c r="U31" s="3" t="inlineStr"/>
      <c r="V31" s="3" t="inlineStr"/>
      <c r="W31" s="3" t="inlineStr"/>
      <c r="X31" s="4">
        <f>SUM(F31:W31)</f>
        <v/>
      </c>
    </row>
    <row r="32">
      <c r="A32" s="3" t="inlineStr">
        <is>
          <t>Fiber panel per T1-NtwkRack</t>
        </is>
      </c>
      <c r="B32" s="3" t="inlineStr"/>
      <c r="C32" s="3" t="inlineStr">
        <is>
          <t>Fiber panel per T1-NtwkRack</t>
        </is>
      </c>
      <c r="D32" s="3" t="inlineStr"/>
      <c r="E32" s="3" t="inlineStr">
        <is>
          <t>Rack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4" t="n">
        <v>8</v>
      </c>
      <c r="U32" s="3" t="inlineStr"/>
      <c r="V32" s="3" t="inlineStr"/>
      <c r="W32" s="3" t="inlineStr"/>
      <c r="X32" s="4">
        <f>SUM(F32:W32)</f>
        <v/>
      </c>
    </row>
    <row r="33">
      <c r="A33" s="3" t="inlineStr">
        <is>
          <t>Fiber shuffle cassette</t>
        </is>
      </c>
      <c r="B33" s="3" t="inlineStr"/>
      <c r="C33" s="3" t="inlineStr">
        <is>
          <t>Fiber shuffle cassette</t>
        </is>
      </c>
      <c r="D33" s="3" t="inlineStr"/>
      <c r="E33" s="3" t="inlineStr">
        <is>
          <t>Rack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4" t="n">
        <v>4032</v>
      </c>
      <c r="U33" s="3" t="inlineStr"/>
      <c r="V33" s="3" t="inlineStr"/>
      <c r="W33" s="3" t="inlineStr"/>
      <c r="X33" s="4">
        <f>SUM(F33:W33)</f>
        <v/>
      </c>
    </row>
    <row r="34">
      <c r="A34" s="3" t="inlineStr">
        <is>
          <t>Fiber shuffle cassette per T1-NtwkRack</t>
        </is>
      </c>
      <c r="B34" s="3" t="inlineStr"/>
      <c r="C34" s="3" t="inlineStr">
        <is>
          <t>Fiber shuffle cassette per T1-NtwkRack</t>
        </is>
      </c>
      <c r="D34" s="3" t="inlineStr"/>
      <c r="E34" s="3" t="inlineStr">
        <is>
          <t>Rack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4" t="n">
        <v>126</v>
      </c>
      <c r="U34" s="3" t="inlineStr"/>
      <c r="V34" s="3" t="inlineStr"/>
      <c r="W34" s="3" t="inlineStr"/>
      <c r="X34" s="4">
        <f>SUM(F34:W34)</f>
        <v/>
      </c>
    </row>
    <row r="35">
      <c r="A35" s="3" t="inlineStr">
        <is>
          <t>FiberPanel</t>
        </is>
      </c>
      <c r="B35" s="3" t="inlineStr">
        <is>
          <t>2U Panel</t>
        </is>
      </c>
      <c r="C35" s="3" t="inlineStr">
        <is>
          <t>FiberPanel</t>
        </is>
      </c>
      <c r="D35" s="3" t="n"/>
      <c r="E35" s="3" t="inlineStr">
        <is>
          <t>Rack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4" t="n">
        <v>3584</v>
      </c>
      <c r="R35" s="4" t="n">
        <v>3584</v>
      </c>
      <c r="S35" s="3" t="n">
        <v>0</v>
      </c>
      <c r="T35" s="3" t="inlineStr"/>
      <c r="U35" s="3" t="inlineStr"/>
      <c r="V35" s="3" t="inlineStr"/>
      <c r="W35" s="3" t="inlineStr"/>
      <c r="X35" s="4">
        <f>SUM(F35:W35)</f>
        <v/>
      </c>
    </row>
    <row r="36">
      <c r="A36" s="3" t="inlineStr">
        <is>
          <t>FiberPanel - 2U</t>
        </is>
      </c>
      <c r="B36" s="3" t="inlineStr">
        <is>
          <t>One Patch Panel to rack where SN4700 is installed since 4x100G cable length max size is 5m</t>
        </is>
      </c>
      <c r="C36" s="3" t="n"/>
      <c r="D36" s="3" t="n"/>
      <c r="E36" s="3" t="inlineStr">
        <is>
          <t>Cables</t>
        </is>
      </c>
      <c r="F36" s="3" t="n">
        <v>0</v>
      </c>
      <c r="G36" s="4" t="n">
        <v>4</v>
      </c>
      <c r="H36" s="4" t="n">
        <v>4</v>
      </c>
      <c r="I36" s="4" t="n">
        <v>4</v>
      </c>
      <c r="J36" s="4" t="n">
        <v>512</v>
      </c>
      <c r="K36" s="3" t="n">
        <v>0</v>
      </c>
      <c r="L36" s="4" t="n">
        <v>240</v>
      </c>
      <c r="M36" s="3" t="n">
        <v>0</v>
      </c>
      <c r="N36" s="4" t="n">
        <v>4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inlineStr"/>
      <c r="U36" s="3" t="inlineStr"/>
      <c r="V36" s="3" t="inlineStr"/>
      <c r="W36" s="3" t="inlineStr"/>
      <c r="X36" s="4">
        <f>SUM(F36:W36)</f>
        <v/>
      </c>
    </row>
    <row r="37">
      <c r="A37" s="3" t="inlineStr">
        <is>
          <t>Fibre Shuffle Cassettes</t>
        </is>
      </c>
      <c r="B37" s="3" t="inlineStr">
        <is>
          <t>Cassette /SU for Leaf Rack GPU to Leaf [Hosted in Leaf rack] - - MPO-8 4x4 Shuffle Module, 4x8f MPO/APC pinned rear to 4X8f MPO/APC pinned front</t>
        </is>
      </c>
      <c r="C37" s="3" t="inlineStr">
        <is>
          <t>Fibre Shuffle Cassettes</t>
        </is>
      </c>
      <c r="D37" s="3" t="n"/>
      <c r="E37" s="3" t="inlineStr">
        <is>
          <t>Rack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4" t="n">
        <v>10584</v>
      </c>
      <c r="P37" s="4" t="n">
        <v>16128</v>
      </c>
      <c r="Q37" s="4" t="n">
        <v>129024</v>
      </c>
      <c r="R37" s="4" t="n">
        <v>129024</v>
      </c>
      <c r="S37" s="4" t="n">
        <v>4536</v>
      </c>
      <c r="T37" s="3" t="inlineStr"/>
      <c r="U37" s="3" t="inlineStr"/>
      <c r="V37" s="3" t="inlineStr"/>
      <c r="W37" s="3" t="inlineStr"/>
      <c r="X37" s="4">
        <f>SUM(F37:W37)</f>
        <v/>
      </c>
    </row>
    <row r="38">
      <c r="A38" s="3" t="inlineStr">
        <is>
          <t>GEDEDU8GPN-008-U030M</t>
        </is>
      </c>
      <c r="B38" s="3" t="inlineStr">
        <is>
          <t>288f Trunk, SMF, MPO8 APC Non-pinned to MPO8 APC Non-pinned, Type B Polarity, 8' leg length</t>
        </is>
      </c>
      <c r="C38" s="3" t="n"/>
      <c r="D38" s="3" t="n"/>
      <c r="E38" s="3" t="inlineStr">
        <is>
          <t>Rack</t>
        </is>
      </c>
      <c r="F38" s="4" t="n">
        <v>64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inlineStr"/>
      <c r="U38" s="3" t="inlineStr"/>
      <c r="V38" s="3" t="inlineStr"/>
      <c r="W38" s="3" t="inlineStr"/>
      <c r="X38" s="4">
        <f>SUM(F38:W38)</f>
        <v/>
      </c>
    </row>
    <row r="39">
      <c r="A39" s="3" t="inlineStr">
        <is>
          <t>IR5000</t>
        </is>
      </c>
      <c r="B39" s="3" t="inlineStr">
        <is>
          <t>IR5000/750mm</t>
        </is>
      </c>
      <c r="C39" s="3" t="n"/>
      <c r="D39" s="3" t="n"/>
      <c r="E39" s="3" t="inlineStr">
        <is>
          <t>Rack</t>
        </is>
      </c>
      <c r="F39" s="3" t="n">
        <v>0</v>
      </c>
      <c r="G39" s="3" t="n">
        <v>0</v>
      </c>
      <c r="H39" s="4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inlineStr"/>
      <c r="U39" s="3" t="inlineStr"/>
      <c r="V39" s="3" t="inlineStr"/>
      <c r="W39" s="3" t="inlineStr"/>
      <c r="X39" s="4">
        <f>SUM(F39:W39)</f>
        <v/>
      </c>
    </row>
    <row r="40">
      <c r="A40" s="3" t="inlineStr">
        <is>
          <t>IR9048</t>
        </is>
      </c>
      <c r="B40" s="3" t="inlineStr">
        <is>
          <t>750mm x 1200mm/ 48RU</t>
        </is>
      </c>
      <c r="C40" s="3" t="n"/>
      <c r="D40" s="3" t="n"/>
      <c r="E40" s="3" t="inlineStr">
        <is>
          <t>Rack</t>
        </is>
      </c>
      <c r="F40" s="4" t="n">
        <v>4</v>
      </c>
      <c r="G40" s="3" t="n">
        <v>0</v>
      </c>
      <c r="H40" s="3" t="n">
        <v>0</v>
      </c>
      <c r="I40" s="4" t="n">
        <v>11</v>
      </c>
      <c r="J40" s="4" t="n">
        <v>36</v>
      </c>
      <c r="K40" s="4" t="n">
        <v>13</v>
      </c>
      <c r="L40" s="4" t="n">
        <v>30</v>
      </c>
      <c r="M40" s="3" t="n">
        <v>0</v>
      </c>
      <c r="N40" s="3" t="n">
        <v>0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3" t="inlineStr"/>
      <c r="U40" s="3" t="inlineStr"/>
      <c r="V40" s="3" t="inlineStr"/>
      <c r="W40" s="3" t="inlineStr"/>
      <c r="X40" s="4">
        <f>SUM(F40:W40)</f>
        <v/>
      </c>
    </row>
    <row r="41">
      <c r="A41" s="3" t="inlineStr">
        <is>
          <t>IR9148</t>
        </is>
      </c>
      <c r="B41" s="3" t="inlineStr">
        <is>
          <t>750mm x 1200mm/ 48RU</t>
        </is>
      </c>
      <c r="C41" s="3" t="n"/>
      <c r="D41" s="3" t="n"/>
      <c r="E41" s="3" t="inlineStr">
        <is>
          <t>Rack</t>
        </is>
      </c>
      <c r="F41" s="3" t="n">
        <v>0</v>
      </c>
      <c r="G41" s="4" t="n">
        <v>2</v>
      </c>
      <c r="H41" s="3" t="n">
        <v>0</v>
      </c>
      <c r="I41" s="3" t="n">
        <v>0</v>
      </c>
      <c r="J41" s="3" t="n">
        <v>0</v>
      </c>
      <c r="K41" s="4" t="n">
        <v>32</v>
      </c>
      <c r="L41" s="3" t="n">
        <v>0</v>
      </c>
      <c r="M41" s="4" t="n">
        <v>2</v>
      </c>
      <c r="N41" s="4" t="n">
        <v>2</v>
      </c>
      <c r="O41" s="4" t="n">
        <v>116</v>
      </c>
      <c r="P41" s="4" t="n">
        <v>160</v>
      </c>
      <c r="Q41" s="4" t="n">
        <v>764</v>
      </c>
      <c r="R41" s="4" t="n">
        <v>764</v>
      </c>
      <c r="S41" s="4" t="n">
        <v>52</v>
      </c>
      <c r="T41" s="3" t="inlineStr"/>
      <c r="U41" s="3" t="inlineStr"/>
      <c r="V41" s="3" t="inlineStr"/>
      <c r="W41" s="3" t="inlineStr"/>
      <c r="X41" s="4">
        <f>SUM(F41:W41)</f>
        <v/>
      </c>
    </row>
    <row r="42">
      <c r="A42" s="3" t="inlineStr">
        <is>
          <t>IR9149</t>
        </is>
      </c>
      <c r="B42" s="3" t="inlineStr">
        <is>
          <t>IR9000/750mmx1200mm/48U</t>
        </is>
      </c>
      <c r="C42" s="3" t="n"/>
      <c r="D42" s="3" t="n"/>
      <c r="E42" s="3" t="inlineStr">
        <is>
          <t>Rack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40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inlineStr"/>
      <c r="U42" s="3" t="inlineStr"/>
      <c r="V42" s="3" t="inlineStr"/>
      <c r="W42" s="3" t="inlineStr"/>
      <c r="X42" s="4">
        <f>SUM(F42:W42)</f>
        <v/>
      </c>
    </row>
    <row r="43">
      <c r="A43" s="3" t="inlineStr">
        <is>
          <t>J6TD3</t>
        </is>
      </c>
      <c r="B43" s="3" t="inlineStr">
        <is>
          <t>CBL-MPO12-4LC-SM-5M</t>
        </is>
      </c>
      <c r="C43" s="3" t="n"/>
      <c r="D43" s="3" t="n"/>
      <c r="E43" s="3" t="inlineStr">
        <is>
          <t>Cables</t>
        </is>
      </c>
      <c r="F43" s="4" t="n">
        <v>24</v>
      </c>
      <c r="G43" s="3" t="n">
        <v>0</v>
      </c>
      <c r="H43" s="4" t="n">
        <v>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inlineStr"/>
      <c r="U43" s="3" t="inlineStr"/>
      <c r="V43" s="3" t="inlineStr"/>
      <c r="W43" s="3" t="inlineStr"/>
      <c r="X43" s="4">
        <f>SUM(F43:W43)</f>
        <v/>
      </c>
    </row>
    <row r="44">
      <c r="A44" s="3" t="inlineStr">
        <is>
          <t>JEDED08GE8-NB003M</t>
        </is>
      </c>
      <c r="B44" s="3" t="inlineStr">
        <is>
          <t>8f Jumper, SMF, MPO8 APC Non-pinned to MPO8 APC Non-pinned, Type B Polarity</t>
        </is>
      </c>
      <c r="C44" s="3" t="n"/>
      <c r="D44" s="3" t="n"/>
      <c r="E44" s="3" t="inlineStr">
        <is>
          <t>Rack</t>
        </is>
      </c>
      <c r="F44" s="4" t="n">
        <v>2048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inlineStr"/>
      <c r="U44" s="3" t="inlineStr"/>
      <c r="V44" s="3" t="inlineStr"/>
      <c r="W44" s="3" t="inlineStr"/>
      <c r="X44" s="4">
        <f>SUM(F44:W44)</f>
        <v/>
      </c>
    </row>
    <row r="45">
      <c r="A45" s="3" t="inlineStr">
        <is>
          <t>LC QSFP28-100G-DR1</t>
        </is>
      </c>
      <c r="B45" s="3" t="inlineStr"/>
      <c r="C45" s="3" t="inlineStr">
        <is>
          <t>LC QSFP28-100G-DR1</t>
        </is>
      </c>
      <c r="D45" s="3" t="inlineStr"/>
      <c r="E45" s="3" t="inlineStr">
        <is>
          <t>Other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4" t="n">
        <v>678</v>
      </c>
      <c r="U45" s="4" t="n">
        <v>678</v>
      </c>
      <c r="V45" s="4" t="n">
        <v>1412</v>
      </c>
      <c r="W45" s="4" t="n">
        <v>788</v>
      </c>
      <c r="X45" s="4">
        <f>SUM(F45:W45)</f>
        <v/>
      </c>
    </row>
    <row r="46">
      <c r="A46" s="3" t="inlineStr">
        <is>
          <t>MFP7E10-N05</t>
        </is>
      </c>
      <c r="B46" s="3" t="inlineStr">
        <is>
          <t>(MPO‑12) multimode fiber cable Type‑B</t>
        </is>
      </c>
      <c r="C46" s="3" t="n"/>
      <c r="D46" s="3" t="n"/>
      <c r="E46" s="3" t="inlineStr">
        <is>
          <t>Cables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inlineStr"/>
      <c r="U46" s="3" t="inlineStr"/>
      <c r="V46" s="3" t="inlineStr"/>
      <c r="W46" s="3" t="inlineStr"/>
      <c r="X46" s="4">
        <f>SUM(F46:W46)</f>
        <v/>
      </c>
    </row>
    <row r="47">
      <c r="A47" s="3" t="inlineStr">
        <is>
          <t>MFP7E10-N050</t>
        </is>
      </c>
      <c r="B47" s="3" t="inlineStr">
        <is>
          <t>MultiMode Fiber 5 meter MPO12/APC OM4</t>
        </is>
      </c>
      <c r="C47" s="3" t="n"/>
      <c r="D47" s="3" t="n"/>
      <c r="E47" s="3" t="inlineStr">
        <is>
          <t>Cables</t>
        </is>
      </c>
      <c r="F47" s="3" t="n">
        <v>0</v>
      </c>
      <c r="G47" s="3" t="n">
        <v>0</v>
      </c>
      <c r="H47" s="3" t="n">
        <v>0</v>
      </c>
      <c r="I47" s="4" t="n">
        <v>992</v>
      </c>
      <c r="J47" s="3" t="n">
        <v>0</v>
      </c>
      <c r="K47" s="4" t="n">
        <v>1488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inlineStr"/>
      <c r="U47" s="3" t="inlineStr"/>
      <c r="V47" s="3" t="inlineStr"/>
      <c r="W47" s="3" t="inlineStr"/>
      <c r="X47" s="4">
        <f>SUM(F47:W47)</f>
        <v/>
      </c>
    </row>
    <row r="48">
      <c r="A48" s="3" t="inlineStr">
        <is>
          <t>MFP7E10‑N005</t>
        </is>
      </c>
      <c r="B48" s="3" t="inlineStr">
        <is>
          <t>MultiMode Fiber  MPO12/APC OM4 Type-B - 5 meter</t>
        </is>
      </c>
      <c r="C48" s="3" t="n"/>
      <c r="D48" s="3" t="n"/>
      <c r="E48" s="3" t="inlineStr">
        <is>
          <t>Cables</t>
        </is>
      </c>
      <c r="F48" s="4" t="n">
        <v>176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inlineStr"/>
      <c r="U48" s="3" t="inlineStr"/>
      <c r="V48" s="3" t="inlineStr"/>
      <c r="W48" s="3" t="inlineStr"/>
      <c r="X48" s="4">
        <f>SUM(F48:W48)</f>
        <v/>
      </c>
    </row>
    <row r="49">
      <c r="A49" s="3" t="inlineStr">
        <is>
          <t>MFP7E30-N050</t>
        </is>
      </c>
      <c r="B49" s="3" t="inlineStr">
        <is>
          <t>MPO-12/APC to MPO-12/APC cable, 1310nm SMF OS2, 100m max, 50 M</t>
        </is>
      </c>
      <c r="C49" s="3" t="n"/>
      <c r="D49" s="3" t="n"/>
      <c r="E49" s="3" t="inlineStr">
        <is>
          <t>Cables</t>
        </is>
      </c>
      <c r="F49" s="3" t="n">
        <v>0</v>
      </c>
      <c r="G49" s="3" t="n">
        <v>0</v>
      </c>
      <c r="H49" s="4" t="n">
        <v>8</v>
      </c>
      <c r="I49" s="4" t="n">
        <v>24</v>
      </c>
      <c r="J49" s="4" t="n">
        <v>88</v>
      </c>
      <c r="K49" s="4" t="n">
        <v>208</v>
      </c>
      <c r="L49" s="4" t="n">
        <v>7640</v>
      </c>
      <c r="M49" s="4" t="n">
        <v>8</v>
      </c>
      <c r="N49" s="4" t="n">
        <v>8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inlineStr"/>
      <c r="U49" s="3" t="inlineStr"/>
      <c r="V49" s="3" t="inlineStr"/>
      <c r="W49" s="3" t="inlineStr"/>
      <c r="X49" s="4">
        <f>SUM(F49:W49)</f>
        <v/>
      </c>
    </row>
    <row r="50">
      <c r="A50" s="3" t="inlineStr">
        <is>
          <t>MFP7E40-N050</t>
        </is>
      </c>
      <c r="B50" s="3" t="inlineStr">
        <is>
          <t>MPO-12/APC to 2xMPO-12/APC cable, 1310nm SMF OS2, 100m max, 50 M</t>
        </is>
      </c>
      <c r="C50" s="3" t="n"/>
      <c r="D50" s="3" t="n"/>
      <c r="E50" s="3" t="inlineStr">
        <is>
          <t>Cables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1216</v>
      </c>
      <c r="N50" s="4" t="n">
        <v>1120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inlineStr"/>
      <c r="U50" s="3" t="inlineStr"/>
      <c r="V50" s="3" t="inlineStr"/>
      <c r="W50" s="3" t="inlineStr"/>
      <c r="X50" s="4">
        <f>SUM(F50:W50)</f>
        <v/>
      </c>
    </row>
    <row r="51">
      <c r="A51" s="3" t="inlineStr">
        <is>
          <t>MMA4Z00-NS</t>
        </is>
      </c>
      <c r="B51" s="3" t="inlineStr">
        <is>
          <t>NVDA XCVR, 800Gbps,2xNDR, OSFP, 2xMPO12 APC, 850nm MMF, up to 50m, finned[MMA4Z00-NS]</t>
        </is>
      </c>
      <c r="C51" s="3" t="inlineStr">
        <is>
          <t>980-9I510-00NS00</t>
        </is>
      </c>
      <c r="D51" s="3" t="inlineStr">
        <is>
          <t>70HK1</t>
        </is>
      </c>
      <c r="E51" s="3" t="inlineStr">
        <is>
          <t>Transceiver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12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inlineStr"/>
      <c r="U51" s="3" t="inlineStr"/>
      <c r="V51" s="3" t="inlineStr"/>
      <c r="W51" s="3" t="inlineStr"/>
      <c r="X51" s="4">
        <f>SUM(F51:W51)</f>
        <v/>
      </c>
    </row>
    <row r="52">
      <c r="A52" s="3" t="inlineStr">
        <is>
          <t>MMA4Z00-NS-FLT</t>
        </is>
      </c>
      <c r="B52" s="3" t="inlineStr">
        <is>
          <t>NVDA twin port XCVR,800GbE,2x400,IPonly,O112, 2xMPO12 APC,850nm MMF,to 50m,flat top RHS[MMA4Z00-NS-FLT ]</t>
        </is>
      </c>
      <c r="C52" s="3" t="inlineStr">
        <is>
          <t>980-9I51A-00NS00</t>
        </is>
      </c>
      <c r="D52" s="3" t="inlineStr">
        <is>
          <t>N72T0</t>
        </is>
      </c>
      <c r="E52" s="3" t="inlineStr">
        <is>
          <t>Transceiver</t>
        </is>
      </c>
      <c r="F52" s="3" t="n">
        <v>0</v>
      </c>
      <c r="G52" s="3" t="n">
        <v>0</v>
      </c>
      <c r="H52" s="3" t="n">
        <v>0</v>
      </c>
      <c r="I52" s="4" t="n">
        <v>496</v>
      </c>
      <c r="J52" s="3" t="n">
        <v>0</v>
      </c>
      <c r="K52" s="4" t="n">
        <v>744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inlineStr"/>
      <c r="U52" s="3" t="inlineStr"/>
      <c r="V52" s="3" t="inlineStr"/>
      <c r="W52" s="3" t="inlineStr"/>
      <c r="X52" s="4">
        <f>SUM(F52:W52)</f>
        <v/>
      </c>
    </row>
    <row r="53">
      <c r="A53" s="3" t="inlineStr">
        <is>
          <t>MMA4Z00‑NS</t>
        </is>
      </c>
      <c r="B53" s="3" t="inlineStr">
        <is>
          <t>NVDA XCVR, 800Gbps,2xNDR, OSFP, 2xMPO12 APC, 850nm MMF, up to 50m, finned[MMA4Z00-NS]</t>
        </is>
      </c>
      <c r="C53" s="3" t="inlineStr">
        <is>
          <t>980-9I510-00NS00</t>
        </is>
      </c>
      <c r="D53" s="3" t="inlineStr">
        <is>
          <t>70HK1</t>
        </is>
      </c>
      <c r="E53" s="3" t="inlineStr">
        <is>
          <t>Transceiver</t>
        </is>
      </c>
      <c r="F53" s="3" t="n">
        <v>0</v>
      </c>
      <c r="G53" s="3" t="n">
        <v>0</v>
      </c>
      <c r="H53" s="3" t="n">
        <v>0</v>
      </c>
      <c r="I53" s="4" t="n">
        <v>496</v>
      </c>
      <c r="J53" s="3" t="n">
        <v>0</v>
      </c>
      <c r="K53" s="4" t="n">
        <v>744</v>
      </c>
      <c r="L53" s="3" t="n">
        <v>0</v>
      </c>
      <c r="M53" s="3" t="n">
        <v>0</v>
      </c>
      <c r="N53" s="4" t="n">
        <v>94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inlineStr"/>
      <c r="U53" s="3" t="inlineStr"/>
      <c r="V53" s="3" t="inlineStr"/>
      <c r="W53" s="3" t="inlineStr"/>
      <c r="X53" s="4">
        <f>SUM(F53:W53)</f>
        <v/>
      </c>
    </row>
    <row r="54">
      <c r="A54" s="3" t="inlineStr">
        <is>
          <t>MMA4Z00‑NS-T</t>
        </is>
      </c>
      <c r="B54" s="3" t="inlineStr">
        <is>
          <t>NVDA twin port XCVR, 800GbE, 2x400, IPonly,O112, 2xMPO12 APC,850nm MMF,to 50m, finned[MMA4Z00-NS-T]</t>
        </is>
      </c>
      <c r="C54" s="3" t="inlineStr">
        <is>
          <t>980-9I510-F4NS00</t>
        </is>
      </c>
      <c r="D54" s="3" t="inlineStr">
        <is>
          <t>YWX59</t>
        </is>
      </c>
      <c r="E54" s="3" t="inlineStr">
        <is>
          <t>Transceiver</t>
        </is>
      </c>
      <c r="F54" s="4" t="n">
        <v>88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inlineStr"/>
      <c r="U54" s="3" t="inlineStr"/>
      <c r="V54" s="3" t="inlineStr"/>
      <c r="W54" s="3" t="inlineStr"/>
      <c r="X54" s="4">
        <f>SUM(F54:W54)</f>
        <v/>
      </c>
    </row>
    <row r="55">
      <c r="A55" s="3" t="inlineStr">
        <is>
          <t>MMC12/APC SMF</t>
        </is>
      </c>
      <c r="B55" s="3" t="inlineStr"/>
      <c r="C55" s="3" t="inlineStr">
        <is>
          <t>MMC12/APC SMF</t>
        </is>
      </c>
      <c r="D55" s="3" t="inlineStr"/>
      <c r="E55" s="3" t="inlineStr">
        <is>
          <t>Cables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4" t="n">
        <v>16384</v>
      </c>
      <c r="U55" s="4" t="n">
        <v>16384</v>
      </c>
      <c r="V55" s="4" t="n">
        <v>34272</v>
      </c>
      <c r="W55" s="4" t="n">
        <v>18144</v>
      </c>
      <c r="X55" s="4">
        <f>SUM(F55:W55)</f>
        <v/>
      </c>
    </row>
    <row r="56">
      <c r="A56" s="3" t="inlineStr">
        <is>
          <t>MMS1V70-CM</t>
        </is>
      </c>
      <c r="B56" s="3" t="inlineStr">
        <is>
          <t>NVDA XCVR, 100GbE, QSFP28, LC, 1310nm, Single Mode 1-lane (DR1), IP[MMS1V70-CM]</t>
        </is>
      </c>
      <c r="C56" s="3" t="inlineStr">
        <is>
          <t>980-9I042-00C000</t>
        </is>
      </c>
      <c r="D56" s="3" t="inlineStr">
        <is>
          <t>8XTGF</t>
        </is>
      </c>
      <c r="E56" s="3" t="inlineStr">
        <is>
          <t>Transceiver</t>
        </is>
      </c>
      <c r="F56" s="3" t="n">
        <v>0</v>
      </c>
      <c r="G56" s="3" t="n">
        <v>0</v>
      </c>
      <c r="H56" s="4" t="n">
        <v>24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inlineStr"/>
      <c r="U56" s="3" t="inlineStr"/>
      <c r="V56" s="3" t="inlineStr"/>
      <c r="W56" s="3" t="inlineStr"/>
      <c r="X56" s="4">
        <f>SUM(F56:W56)</f>
        <v/>
      </c>
    </row>
    <row r="57">
      <c r="A57" s="3" t="inlineStr">
        <is>
          <t>MMS1X00-NS400</t>
        </is>
      </c>
      <c r="B57" s="3" t="inlineStr">
        <is>
          <t>NVDA XCVR400GbE, QSFP112, MPO12 APC, R4, SMF, p to 500m, Flattop (MMS1X00-NS400)</t>
        </is>
      </c>
      <c r="C57" s="3" t="inlineStr">
        <is>
          <t>980-9I068-00NM00</t>
        </is>
      </c>
      <c r="D57" s="3" t="inlineStr">
        <is>
          <t>6YVDP</t>
        </is>
      </c>
      <c r="E57" s="3" t="inlineStr">
        <is>
          <t>Transceiver</t>
        </is>
      </c>
      <c r="F57" s="4" t="n">
        <v>64</v>
      </c>
      <c r="G57" s="3" t="n">
        <v>0</v>
      </c>
      <c r="H57" s="3" t="n">
        <v>0</v>
      </c>
      <c r="I57" s="4" t="n">
        <v>64</v>
      </c>
      <c r="J57" s="4" t="n">
        <v>8712</v>
      </c>
      <c r="K57" s="4" t="n">
        <v>64</v>
      </c>
      <c r="L57" s="4" t="n">
        <v>7260</v>
      </c>
      <c r="M57" s="4" t="n">
        <v>640</v>
      </c>
      <c r="N57" s="4" t="n">
        <v>192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inlineStr"/>
      <c r="U57" s="3" t="inlineStr"/>
      <c r="V57" s="3" t="inlineStr"/>
      <c r="W57" s="3" t="inlineStr"/>
      <c r="X57" s="4">
        <f>SUM(F57:W57)</f>
        <v/>
      </c>
    </row>
    <row r="58">
      <c r="A58" s="3" t="inlineStr">
        <is>
          <t>MMS1X00-NS400 - 6YVDP</t>
        </is>
      </c>
      <c r="B58" s="3" t="inlineStr">
        <is>
          <t>NVDA XCVR400GbE, QSFP112, MPO12 APC, R4, SMF, p to 500m, Flattop (MMS1X00-NS400)</t>
        </is>
      </c>
      <c r="C58" s="3" t="inlineStr">
        <is>
          <t>980-9I068-00NM00</t>
        </is>
      </c>
      <c r="D58" s="3" t="inlineStr">
        <is>
          <t>6YVDP</t>
        </is>
      </c>
      <c r="E58" s="3" t="inlineStr">
        <is>
          <t>Transceiver</t>
        </is>
      </c>
      <c r="F58" s="4" t="n">
        <v>192</v>
      </c>
      <c r="G58" s="4" t="n">
        <v>192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inlineStr"/>
      <c r="U58" s="3" t="inlineStr"/>
      <c r="V58" s="3" t="inlineStr"/>
      <c r="W58" s="3" t="inlineStr"/>
      <c r="X58" s="4">
        <f>SUM(F58:W58)</f>
        <v/>
      </c>
    </row>
    <row r="59">
      <c r="A59" s="3" t="inlineStr">
        <is>
          <t>MMS4X00-NM-T</t>
        </is>
      </c>
      <c r="B59" s="3" t="inlineStr">
        <is>
          <t>NVDA twin port XCVR, 800GbE,2x400,IPonly,O112,2xMPO12 APC,1310N SMF,to 500m,finned HIS[MMS4X00-NM-T]</t>
        </is>
      </c>
      <c r="C59" s="3" t="inlineStr">
        <is>
          <t>980-9I30G-F4NM00</t>
        </is>
      </c>
      <c r="D59" s="3" t="inlineStr">
        <is>
          <t>YW1C0</t>
        </is>
      </c>
      <c r="E59" s="3" t="inlineStr">
        <is>
          <t>Transceiver</t>
        </is>
      </c>
      <c r="F59" s="4" t="n">
        <v>1240</v>
      </c>
      <c r="G59" s="4" t="n">
        <v>360</v>
      </c>
      <c r="H59" s="3" t="n">
        <v>0</v>
      </c>
      <c r="I59" s="4" t="n">
        <v>1024</v>
      </c>
      <c r="J59" s="4" t="n">
        <v>2524</v>
      </c>
      <c r="K59" s="4" t="n">
        <v>2320</v>
      </c>
      <c r="L59" s="4" t="n">
        <v>2046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inlineStr"/>
      <c r="U59" s="3" t="inlineStr"/>
      <c r="V59" s="3" t="inlineStr"/>
      <c r="W59" s="3" t="inlineStr"/>
      <c r="X59" s="4">
        <f>SUM(F59:W59)</f>
        <v/>
      </c>
    </row>
    <row r="60">
      <c r="A60" s="3" t="inlineStr">
        <is>
          <t>MPO OSFP112-800G-2x400G-2DR4 Twin</t>
        </is>
      </c>
      <c r="B60" s="3" t="inlineStr"/>
      <c r="C60" s="3" t="inlineStr">
        <is>
          <t>MPO OSFP112-800G-2x400G-2DR4 Twin</t>
        </is>
      </c>
      <c r="D60" s="3" t="inlineStr"/>
      <c r="E60" s="3" t="inlineStr">
        <is>
          <t>Transceiver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4" t="n">
        <v>3148</v>
      </c>
      <c r="U60" s="4" t="n">
        <v>3148</v>
      </c>
      <c r="V60" s="4" t="n">
        <v>11464</v>
      </c>
      <c r="W60" s="4" t="n">
        <v>6460</v>
      </c>
      <c r="X60" s="4">
        <f>SUM(F60:W60)</f>
        <v/>
      </c>
    </row>
    <row r="61">
      <c r="A61" s="3" t="inlineStr">
        <is>
          <t>MPO OSFP224-1600G-2x800G-2DR4 Twin RHS</t>
        </is>
      </c>
      <c r="B61" s="3" t="inlineStr"/>
      <c r="C61" s="3" t="inlineStr">
        <is>
          <t>MPO OSFP224-1600G-2x800G-2DR4 Twin RHS</t>
        </is>
      </c>
      <c r="D61" s="3" t="inlineStr"/>
      <c r="E61" s="3" t="inlineStr">
        <is>
          <t>Transceiver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4" t="n">
        <v>8064</v>
      </c>
      <c r="U61" s="4" t="n">
        <v>8064</v>
      </c>
      <c r="V61" s="4" t="n">
        <v>17136</v>
      </c>
      <c r="W61" s="4" t="n">
        <v>9072</v>
      </c>
      <c r="X61" s="4">
        <f>SUM(F61:W61)</f>
        <v/>
      </c>
    </row>
    <row r="62">
      <c r="A62" s="3" t="inlineStr">
        <is>
          <t>MPO QSFP112-400G-DR4</t>
        </is>
      </c>
      <c r="B62" s="3" t="inlineStr"/>
      <c r="C62" s="3" t="inlineStr">
        <is>
          <t>MPO QSFP112-400G-DR4</t>
        </is>
      </c>
      <c r="D62" s="3" t="inlineStr"/>
      <c r="E62" s="3" t="inlineStr">
        <is>
          <t>Cables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4" t="n">
        <v>4092</v>
      </c>
      <c r="U62" s="4" t="n">
        <v>4092</v>
      </c>
      <c r="V62" s="4" t="n">
        <v>8628</v>
      </c>
      <c r="W62" s="4" t="n">
        <v>4760</v>
      </c>
      <c r="X62" s="4">
        <f>SUM(F62:W62)</f>
        <v/>
      </c>
    </row>
    <row r="63">
      <c r="A63" s="3" t="inlineStr">
        <is>
          <t>MPO QSFP56DD-400G-DR4</t>
        </is>
      </c>
      <c r="B63" s="3" t="inlineStr"/>
      <c r="C63" s="3" t="inlineStr">
        <is>
          <t>MPO QSFP56DD-400G-DR4</t>
        </is>
      </c>
      <c r="D63" s="3" t="inlineStr"/>
      <c r="E63" s="3" t="inlineStr">
        <is>
          <t>Cables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4" t="n">
        <v>200</v>
      </c>
      <c r="U63" s="4" t="n">
        <v>200</v>
      </c>
      <c r="V63" s="4" t="n">
        <v>398</v>
      </c>
      <c r="W63" s="4" t="n">
        <v>230</v>
      </c>
      <c r="X63" s="4">
        <f>SUM(F63:W63)</f>
        <v/>
      </c>
    </row>
    <row r="64">
      <c r="A64" s="3" t="inlineStr">
        <is>
          <t>MPO12/APC SMF</t>
        </is>
      </c>
      <c r="B64" s="3" t="inlineStr"/>
      <c r="C64" s="3" t="inlineStr">
        <is>
          <t>MPO12/APC SMF</t>
        </is>
      </c>
      <c r="D64" s="3" t="inlineStr"/>
      <c r="E64" s="3" t="inlineStr">
        <is>
          <t>Cables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4" t="n">
        <v>5164</v>
      </c>
      <c r="U64" s="4" t="n">
        <v>5164</v>
      </c>
      <c r="V64" s="4" t="n">
        <v>15748</v>
      </c>
      <c r="W64" s="4" t="n">
        <v>8468</v>
      </c>
      <c r="X64" s="4">
        <f>SUM(F64:W64)</f>
        <v/>
      </c>
    </row>
    <row r="65">
      <c r="A65" s="3" t="inlineStr">
        <is>
          <t>MPO12/APC SMF Jumper</t>
        </is>
      </c>
      <c r="B65" s="3" t="inlineStr"/>
      <c r="C65" s="3" t="inlineStr">
        <is>
          <t>MPO12/APC SMF Jumper</t>
        </is>
      </c>
      <c r="D65" s="3" t="inlineStr"/>
      <c r="E65" s="3" t="inlineStr">
        <is>
          <t>Cables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4" t="n">
        <v>16128</v>
      </c>
      <c r="U65" s="3" t="inlineStr"/>
      <c r="V65" s="3" t="inlineStr"/>
      <c r="W65" s="3" t="inlineStr"/>
      <c r="X65" s="4">
        <f>SUM(F65:W65)</f>
        <v/>
      </c>
    </row>
    <row r="66">
      <c r="A66" s="3" t="inlineStr">
        <is>
          <t>MPO12/APC-2MPO12/APC SMF</t>
        </is>
      </c>
      <c r="B66" s="3" t="inlineStr"/>
      <c r="C66" s="3" t="inlineStr">
        <is>
          <t>MPO12/APC-2MPO12/APC SMF</t>
        </is>
      </c>
      <c r="D66" s="3" t="inlineStr"/>
      <c r="E66" s="3" t="inlineStr">
        <is>
          <t>Cables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4" t="n">
        <v>30</v>
      </c>
      <c r="U66" s="4" t="n">
        <v>30</v>
      </c>
      <c r="V66" s="4" t="n">
        <v>30</v>
      </c>
      <c r="W66" s="4" t="n">
        <v>112</v>
      </c>
      <c r="X66" s="4">
        <f>SUM(F66:W66)</f>
        <v/>
      </c>
    </row>
    <row r="67">
      <c r="A67" s="3" t="inlineStr">
        <is>
          <t>MPO12/APC-4LC SMF</t>
        </is>
      </c>
      <c r="B67" s="3" t="inlineStr"/>
      <c r="C67" s="3" t="inlineStr">
        <is>
          <t>MPO12/APC-4LC SMF</t>
        </is>
      </c>
      <c r="D67" s="3" t="inlineStr"/>
      <c r="E67" s="3" t="inlineStr">
        <is>
          <t>Cables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4" t="n">
        <v>184</v>
      </c>
      <c r="U67" s="4" t="n">
        <v>184</v>
      </c>
      <c r="V67" s="4" t="n">
        <v>382</v>
      </c>
      <c r="W67" s="4" t="n">
        <v>214</v>
      </c>
      <c r="X67" s="4">
        <f>SUM(F67:W67)</f>
        <v/>
      </c>
    </row>
    <row r="68">
      <c r="A68" s="3" t="inlineStr">
        <is>
          <t>MPO12/APC-MMC12/APC SMF</t>
        </is>
      </c>
      <c r="B68" s="3" t="inlineStr"/>
      <c r="C68" s="3" t="inlineStr">
        <is>
          <t>MPO12/APC-MMC12/APC SMF</t>
        </is>
      </c>
      <c r="D68" s="3" t="inlineStr"/>
      <c r="E68" s="3" t="inlineStr">
        <is>
          <t>Cables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4" t="n">
        <v>16128</v>
      </c>
      <c r="U68" s="4" t="n">
        <v>16128</v>
      </c>
      <c r="V68" s="4" t="n">
        <v>34272</v>
      </c>
      <c r="W68" s="4" t="n">
        <v>18144</v>
      </c>
      <c r="X68" s="4">
        <f>SUM(F68:W68)</f>
        <v/>
      </c>
    </row>
    <row r="69">
      <c r="A69" s="3" t="inlineStr">
        <is>
          <t>NFM93</t>
        </is>
      </c>
      <c r="B69" s="3" t="inlineStr">
        <is>
          <t>MOD,CBL,MPO12-2MPO4,SMF,30M</t>
        </is>
      </c>
      <c r="C69" s="3" t="n"/>
      <c r="D69" s="3" t="n"/>
      <c r="E69" s="3" t="inlineStr">
        <is>
          <t>Cables</t>
        </is>
      </c>
      <c r="F69" s="4" t="n">
        <v>96</v>
      </c>
      <c r="G69" s="4" t="n">
        <v>192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inlineStr"/>
      <c r="U69" s="3" t="inlineStr"/>
      <c r="V69" s="3" t="inlineStr"/>
      <c r="W69" s="3" t="inlineStr"/>
      <c r="X69" s="4">
        <f>SUM(F69:W69)</f>
        <v/>
      </c>
    </row>
    <row r="70">
      <c r="A70" s="3" t="inlineStr">
        <is>
          <t>PDU</t>
        </is>
      </c>
      <c r="B70" s="3" t="inlineStr"/>
      <c r="C70" s="3" t="inlineStr">
        <is>
          <t>PDU</t>
        </is>
      </c>
      <c r="D70" s="3" t="inlineStr"/>
      <c r="E70" s="3" t="inlineStr">
        <is>
          <t>Other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4" t="n">
        <v>56</v>
      </c>
      <c r="U70" s="4" t="n">
        <v>56</v>
      </c>
      <c r="V70" s="4" t="n">
        <v>100</v>
      </c>
      <c r="W70" s="4" t="n">
        <v>64</v>
      </c>
      <c r="X70" s="4">
        <f>SUM(F70:W70)</f>
        <v/>
      </c>
    </row>
    <row r="71">
      <c r="A71" s="3" t="inlineStr">
        <is>
          <t>PDU 3Ph, 415V, 60A</t>
        </is>
      </c>
      <c r="B71" s="3" t="inlineStr">
        <is>
          <t>3PH, 415V, 60A, 560P6, 42 Outlet</t>
        </is>
      </c>
      <c r="C71" s="3" t="n"/>
      <c r="D71" s="3" t="n"/>
      <c r="E71" s="3" t="inlineStr">
        <is>
          <t>Rack</t>
        </is>
      </c>
      <c r="F71" s="3" t="n">
        <v>0</v>
      </c>
      <c r="G71" s="3" t="n">
        <v>0</v>
      </c>
      <c r="H71" s="4" t="n">
        <v>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inlineStr"/>
      <c r="U71" s="3" t="inlineStr"/>
      <c r="V71" s="3" t="inlineStr"/>
      <c r="W71" s="3" t="inlineStr"/>
      <c r="X71" s="4">
        <f>SUM(F71:W71)</f>
        <v/>
      </c>
    </row>
    <row r="72">
      <c r="A72" s="3" t="inlineStr">
        <is>
          <t>PDU per Aircool AC Rack</t>
        </is>
      </c>
      <c r="B72" s="3" t="inlineStr"/>
      <c r="C72" s="3" t="inlineStr">
        <is>
          <t>PDU per Aircool AC Rack</t>
        </is>
      </c>
      <c r="D72" s="3" t="inlineStr"/>
      <c r="E72" s="3" t="inlineStr">
        <is>
          <t>Other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4" t="n">
        <v>2</v>
      </c>
      <c r="U72" s="4" t="n">
        <v>2</v>
      </c>
      <c r="V72" s="4" t="n">
        <v>2</v>
      </c>
      <c r="W72" s="4" t="n">
        <v>2</v>
      </c>
      <c r="X72" s="4">
        <f>SUM(F72:W72)</f>
        <v/>
      </c>
    </row>
    <row r="73">
      <c r="A73" s="3" t="inlineStr">
        <is>
          <t>PS</t>
        </is>
      </c>
      <c r="B73" s="3" t="inlineStr"/>
      <c r="C73" s="3" t="inlineStr">
        <is>
          <t>PS</t>
        </is>
      </c>
      <c r="D73" s="3" t="inlineStr"/>
      <c r="E73" s="3" t="inlineStr">
        <is>
          <t>Other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4" t="n">
        <v>192</v>
      </c>
      <c r="U73" s="4" t="n">
        <v>96</v>
      </c>
      <c r="V73" s="4" t="n">
        <v>208</v>
      </c>
      <c r="W73" s="4" t="n">
        <v>144</v>
      </c>
      <c r="X73" s="4">
        <f>SUM(F73:W73)</f>
        <v/>
      </c>
    </row>
    <row r="74">
      <c r="A74" s="3" t="inlineStr">
        <is>
          <t>PS per DLC DC Rack</t>
        </is>
      </c>
      <c r="B74" s="3" t="inlineStr"/>
      <c r="C74" s="3" t="inlineStr">
        <is>
          <t>PS per DLC DC Rack</t>
        </is>
      </c>
      <c r="D74" s="3" t="inlineStr"/>
      <c r="E74" s="3" t="inlineStr">
        <is>
          <t>Other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4" t="n">
        <v>4</v>
      </c>
      <c r="U74" s="4" t="n">
        <v>4</v>
      </c>
      <c r="V74" s="4" t="n">
        <v>4</v>
      </c>
      <c r="W74" s="4" t="n">
        <v>4</v>
      </c>
      <c r="X74" s="4">
        <f>SUM(F74:W74)</f>
        <v/>
      </c>
    </row>
    <row r="75">
      <c r="A75" s="3" t="inlineStr">
        <is>
          <t>SN2201 , 1U , C2P</t>
        </is>
      </c>
      <c r="B75" s="3" t="inlineStr">
        <is>
          <t>48 × RJ45 10/100/1000BASE‑T ports PLUS 4 × QSFP28 ports (can be used as 4×100 GbE, or broken out to lower speeds like 4×25 GbE, etc.)</t>
        </is>
      </c>
      <c r="C75" s="3" t="n"/>
      <c r="D75" s="3" t="n"/>
      <c r="E75" s="3" t="inlineStr">
        <is>
          <t>Cables</t>
        </is>
      </c>
      <c r="F75" s="4" t="n">
        <v>20</v>
      </c>
      <c r="G75" s="4" t="n">
        <v>195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inlineStr"/>
      <c r="U75" s="3" t="inlineStr"/>
      <c r="V75" s="3" t="inlineStr"/>
      <c r="W75" s="3" t="inlineStr"/>
      <c r="X75" s="4">
        <f>SUM(F75:W75)</f>
        <v/>
      </c>
    </row>
    <row r="76">
      <c r="A76" s="3" t="inlineStr">
        <is>
          <t>SN2201 AC</t>
        </is>
      </c>
      <c r="B76" s="3" t="inlineStr"/>
      <c r="C76" s="3" t="inlineStr">
        <is>
          <t>SN2201 AC</t>
        </is>
      </c>
      <c r="D76" s="3" t="inlineStr"/>
      <c r="E76" s="3" t="inlineStr">
        <is>
          <t>Other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4" t="n">
        <v>90</v>
      </c>
      <c r="U76" s="4" t="n">
        <v>90</v>
      </c>
      <c r="V76" s="4" t="n">
        <v>187</v>
      </c>
      <c r="W76" s="4" t="n">
        <v>115</v>
      </c>
      <c r="X76" s="4">
        <f>SUM(F76:W76)</f>
        <v/>
      </c>
    </row>
    <row r="77">
      <c r="A77" s="3" t="inlineStr">
        <is>
          <t>SN4700</t>
        </is>
      </c>
      <c r="B77" s="3" t="inlineStr"/>
      <c r="C77" s="3" t="inlineStr">
        <is>
          <t>SN4700</t>
        </is>
      </c>
      <c r="D77" s="3" t="inlineStr"/>
      <c r="E77" s="3" t="inlineStr">
        <is>
          <t>Other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4" t="n">
        <v>24</v>
      </c>
      <c r="U77" s="4" t="n">
        <v>24</v>
      </c>
      <c r="V77" s="4" t="n">
        <v>42</v>
      </c>
      <c r="W77" s="4" t="n">
        <v>26</v>
      </c>
      <c r="X77" s="4">
        <f>SUM(F77:W77)</f>
        <v/>
      </c>
    </row>
    <row r="78">
      <c r="A78" s="3" t="inlineStr">
        <is>
          <t>SN5610</t>
        </is>
      </c>
      <c r="B78" s="3" t="inlineStr"/>
      <c r="C78" s="3" t="inlineStr">
        <is>
          <t>SN5610</t>
        </is>
      </c>
      <c r="D78" s="3" t="inlineStr"/>
      <c r="E78" s="3" t="inlineStr">
        <is>
          <t>Other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4" t="n">
        <v>86</v>
      </c>
      <c r="U78" s="4" t="n">
        <v>86</v>
      </c>
      <c r="V78" s="4" t="n">
        <v>230</v>
      </c>
      <c r="W78" s="4" t="n">
        <v>134</v>
      </c>
      <c r="X78" s="4">
        <f>SUM(F78:W78)</f>
        <v/>
      </c>
    </row>
    <row r="79">
      <c r="A79" s="3" t="inlineStr">
        <is>
          <t>SN6800-LD</t>
        </is>
      </c>
      <c r="B79" s="3" t="inlineStr"/>
      <c r="C79" s="3" t="inlineStr">
        <is>
          <t>SN6800-LD</t>
        </is>
      </c>
      <c r="D79" s="3" t="inlineStr"/>
      <c r="E79" s="3" t="inlineStr">
        <is>
          <t>Switch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4" t="n">
        <v>96</v>
      </c>
      <c r="V79" s="4" t="n">
        <v>208</v>
      </c>
      <c r="W79" s="4" t="n">
        <v>144</v>
      </c>
      <c r="X79" s="4">
        <f>SUM(F79:W79)</f>
        <v/>
      </c>
    </row>
    <row r="80">
      <c r="A80" s="3" t="inlineStr">
        <is>
          <t>SN6810-LD</t>
        </is>
      </c>
      <c r="B80" s="3" t="inlineStr"/>
      <c r="C80" s="3" t="inlineStr">
        <is>
          <t>SN6810-LD</t>
        </is>
      </c>
      <c r="D80" s="3" t="inlineStr"/>
      <c r="E80" s="3" t="inlineStr">
        <is>
          <t>Switch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4" t="n">
        <v>384</v>
      </c>
      <c r="U80" s="3" t="inlineStr"/>
      <c r="V80" s="3" t="inlineStr"/>
      <c r="W80" s="3" t="inlineStr"/>
      <c r="X80" s="4">
        <f>SUM(F80:W80)</f>
        <v/>
      </c>
    </row>
    <row r="81">
      <c r="A81" s="3" t="inlineStr">
        <is>
          <t>Shuffle 4x4 units</t>
        </is>
      </c>
      <c r="B81" s="3" t="inlineStr">
        <is>
          <t>CommScope</t>
        </is>
      </c>
      <c r="C81" s="3" t="n"/>
      <c r="D81" s="3" t="n"/>
      <c r="E81" s="3" t="inlineStr">
        <is>
          <t>Rack</t>
        </is>
      </c>
      <c r="F81" s="3" t="n">
        <v>0</v>
      </c>
      <c r="G81" s="3" t="n">
        <v>0</v>
      </c>
      <c r="H81" s="4" t="n">
        <v>144</v>
      </c>
      <c r="I81" s="3" t="n">
        <v>0</v>
      </c>
      <c r="J81" s="4" t="n">
        <v>18288</v>
      </c>
      <c r="K81" s="3" t="n">
        <v>0</v>
      </c>
      <c r="L81" s="4" t="n">
        <v>7560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inlineStr"/>
      <c r="U81" s="3" t="inlineStr"/>
      <c r="V81" s="3" t="inlineStr"/>
      <c r="W81" s="3" t="inlineStr"/>
      <c r="X81" s="4">
        <f>SUM(F81:W81)</f>
        <v/>
      </c>
    </row>
    <row r="82">
      <c r="A82" s="3" t="inlineStr">
        <is>
          <t>T1-NtwkRack</t>
        </is>
      </c>
      <c r="B82" s="3" t="inlineStr"/>
      <c r="C82" s="3" t="inlineStr">
        <is>
          <t>T1-NtwkRack</t>
        </is>
      </c>
      <c r="D82" s="3" t="inlineStr"/>
      <c r="E82" s="3" t="inlineStr">
        <is>
          <t>Other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4" t="n">
        <v>32</v>
      </c>
      <c r="U82" s="3" t="inlineStr"/>
      <c r="V82" s="3" t="inlineStr"/>
      <c r="W82" s="3" t="inlineStr"/>
      <c r="X82" s="4">
        <f>SUM(F82:W82)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Model/PN</t>
        </is>
      </c>
      <c r="B1" s="1" t="inlineStr">
        <is>
          <t>Description</t>
        </is>
      </c>
      <c r="C1" s="1" t="inlineStr">
        <is>
          <t>NVIDIA Generic Part number</t>
        </is>
      </c>
      <c r="D1" s="1" t="inlineStr">
        <is>
          <t>Dell PN</t>
        </is>
      </c>
      <c r="E1" s="1" t="inlineStr">
        <is>
          <t>Category</t>
        </is>
      </c>
      <c r="F1" s="1" t="inlineStr">
        <is>
          <t>BOM - NETWORK - 2026-08-24- IREN -  512 Racks -(B300) - Mackenzie - 512 GPU Storage Testing [Locked]_UNLOCKED.xlsx</t>
        </is>
      </c>
      <c r="G1" s="1" t="inlineStr">
        <is>
          <t>BOM - NETWORK - 2026-09-023 - IREN -  256 Racks - 8192-GPU (B300)_GOLDEN.xlsx</t>
        </is>
      </c>
      <c r="H1" s="1" t="inlineStr">
        <is>
          <t>BOM - NETWORK - 2026-09-04- IREN - PS - VR72 4x Test Racks [Quote]_UNLOCKED.xlsx</t>
        </is>
      </c>
      <c r="I1" s="1" t="inlineStr">
        <is>
          <t>BOM - NETWORK - 2026-09-11- IREN - 50MW 252 Racks - Sweetwater VR NVL72_SN6600-LD_CORE [Quoted]_UNLOCKED.xlsx</t>
        </is>
      </c>
      <c r="J1" s="1" t="inlineStr">
        <is>
          <t>BOM - NETWORK - 2026-09-11- IREN - 50MW 252 Racks - Sweetwater VR NVL72_SN6600-LD_DH [Quoted]_UNLOCKED.xlsx</t>
        </is>
      </c>
      <c r="K1" s="1" t="inlineStr">
        <is>
          <t>BOM - NETWORK - 2026-09-15- IREN CHLD_HORIZON_210 Racks - VR NVL72_SN6600-LD_Core-GOLDEN [Quoting]_UNLOCKED.xlsx</t>
        </is>
      </c>
      <c r="L1" s="1" t="inlineStr">
        <is>
          <t>BOM - NETWORK - 2026-09-15- IREN CHLD_HORIZON_210 Racks - VR NVL72_SN6600-LD_DH_GOLDEN [Quoting]_UNLOCKED.xlsx</t>
        </is>
      </c>
      <c r="M1" s="1" t="inlineStr">
        <is>
          <t>BOM - NETWORK - 2026-09-23 - IREN -  256 Racks - 8192-GPU (B200).xlsx</t>
        </is>
      </c>
      <c r="N1" s="1" t="inlineStr">
        <is>
          <t>BOM - NETWORK - 2026-09-23 - IREN -  B4-5 256 Racks - 8192-GPU (B200).xlsx</t>
        </is>
      </c>
      <c r="O1" s="1" t="inlineStr">
        <is>
          <t>PNL-NETWORK BOM-2026-09-23-Anthropic-Australia_Q1_Q2-21k GPUs VR NVL72.xlsx</t>
        </is>
      </c>
      <c r="P1" s="1" t="inlineStr">
        <is>
          <t>PNL-NETWORK BOM-2026-09-23-Anthropic-Canada_Q2-32k GPUs VR NVL72.xlsx</t>
        </is>
      </c>
      <c r="Q1" s="1" t="inlineStr">
        <is>
          <t>PNL-NETWORK BOM-2026-09-24-Anthropic-US-Q1-Q2-Cluster1-129k GPUs VR NVL72.xlsx</t>
        </is>
      </c>
      <c r="R1" s="1" t="inlineStr">
        <is>
          <t>PNL-NETWORK BOM-2026-09-24-Anthropic-US-Q1-Q2-Cluster2-129k GPUs VR NVL72.xlsx</t>
        </is>
      </c>
      <c r="S1" s="1" t="inlineStr">
        <is>
          <t>PNL-NETWORK BOM-2026-09-25-Anthropic-US_Q1_Q2-Cluster3-9k GPUs VR NVL72.xlsx</t>
        </is>
      </c>
      <c r="T1" s="1" t="inlineStr">
        <is>
          <t>Narvik-8k-6810</t>
        </is>
      </c>
      <c r="U1" s="1" t="inlineStr">
        <is>
          <t>Narvik-8k</t>
        </is>
      </c>
      <c r="V1" s="1" t="inlineStr">
        <is>
          <t>Narvik-17k</t>
        </is>
      </c>
      <c r="W1" s="1" t="inlineStr">
        <is>
          <t>US-TBD-18k</t>
        </is>
      </c>
      <c r="X1" s="1" t="inlineStr">
        <is>
          <t>Total Quantity</t>
        </is>
      </c>
    </row>
    <row r="2">
      <c r="F2" s="2" t="inlineStr">
        <is>
          <t>IREN</t>
        </is>
      </c>
      <c r="G2" s="2" t="inlineStr">
        <is>
          <t>IREN</t>
        </is>
      </c>
      <c r="H2" s="2" t="inlineStr">
        <is>
          <t>IREN</t>
        </is>
      </c>
      <c r="I2" s="2" t="inlineStr">
        <is>
          <t>IREN</t>
        </is>
      </c>
      <c r="J2" s="2" t="inlineStr">
        <is>
          <t>IREN</t>
        </is>
      </c>
      <c r="K2" s="2" t="inlineStr">
        <is>
          <t>IREN</t>
        </is>
      </c>
      <c r="L2" s="2" t="inlineStr">
        <is>
          <t>IREN</t>
        </is>
      </c>
      <c r="M2" s="2" t="inlineStr">
        <is>
          <t>IREN</t>
        </is>
      </c>
      <c r="N2" s="2" t="inlineStr">
        <is>
          <t>IREN</t>
        </is>
      </c>
      <c r="O2" s="2" t="inlineStr">
        <is>
          <t>Anthropic</t>
        </is>
      </c>
      <c r="P2" s="2" t="inlineStr">
        <is>
          <t>Anthropic</t>
        </is>
      </c>
      <c r="Q2" s="2" t="inlineStr">
        <is>
          <t>Anthropic</t>
        </is>
      </c>
      <c r="R2" s="2" t="inlineStr">
        <is>
          <t>Anthropic</t>
        </is>
      </c>
      <c r="S2" s="2" t="inlineStr">
        <is>
          <t>Anthropic</t>
        </is>
      </c>
      <c r="T2" s="2" t="inlineStr">
        <is>
          <t>NScale</t>
        </is>
      </c>
      <c r="U2" s="2" t="inlineStr">
        <is>
          <t>NScale</t>
        </is>
      </c>
      <c r="V2" s="2" t="inlineStr">
        <is>
          <t>NScale</t>
        </is>
      </c>
      <c r="W2" s="2" t="inlineStr">
        <is>
          <t>NScale</t>
        </is>
      </c>
    </row>
    <row r="3">
      <c r="F3" s="2" t="inlineStr">
        <is>
          <t>Mackenzie, BC</t>
        </is>
      </c>
      <c r="G3" s="2" t="inlineStr">
        <is>
          <t>Childress, TX</t>
        </is>
      </c>
      <c r="H3" s="2" t="inlineStr">
        <is>
          <t>Prince George, BC</t>
        </is>
      </c>
      <c r="I3" s="2" t="inlineStr">
        <is>
          <t>Sweetwater, BC</t>
        </is>
      </c>
      <c r="J3" s="2" t="inlineStr">
        <is>
          <t>Sweetwater, BC</t>
        </is>
      </c>
      <c r="K3" s="2" t="inlineStr">
        <is>
          <t>Horizon, AB</t>
        </is>
      </c>
      <c r="L3" s="2" t="inlineStr">
        <is>
          <t>Horizon, AB</t>
        </is>
      </c>
      <c r="M3" s="2" t="inlineStr">
        <is>
          <t>Childress, TX</t>
        </is>
      </c>
      <c r="N3" s="2" t="inlineStr">
        <is>
          <t>Childress, TX</t>
        </is>
      </c>
      <c r="O3" s="2" t="inlineStr">
        <is>
          <t>Australia</t>
        </is>
      </c>
      <c r="P3" s="2" t="inlineStr">
        <is>
          <t>Canada</t>
        </is>
      </c>
      <c r="Q3" s="2" t="inlineStr">
        <is>
          <t>US-Cluster1</t>
        </is>
      </c>
      <c r="R3" s="2" t="inlineStr">
        <is>
          <t>US-Cluster2</t>
        </is>
      </c>
      <c r="S3" s="2" t="inlineStr">
        <is>
          <t>US-Cluster3</t>
        </is>
      </c>
      <c r="T3" s="2" t="inlineStr">
        <is>
          <t>Narvik, Norway</t>
        </is>
      </c>
      <c r="U3" s="2" t="inlineStr">
        <is>
          <t>Narvik, Norway</t>
        </is>
      </c>
      <c r="V3" s="2" t="inlineStr">
        <is>
          <t>Narvik, Norway</t>
        </is>
      </c>
      <c r="W3" s="2" t="inlineStr">
        <is>
          <t>US-TBD</t>
        </is>
      </c>
    </row>
    <row r="4">
      <c r="A4" t="inlineStr">
        <is>
          <t>Delivery Date</t>
        </is>
      </c>
    </row>
    <row r="5">
      <c r="A5" s="3" t="inlineStr">
        <is>
          <t>470-ABGH</t>
        </is>
      </c>
      <c r="B5" s="3" t="inlineStr">
        <is>
          <t>CBL-MPO12-4LC-SM-5M</t>
        </is>
      </c>
      <c r="C5" s="3" t="n"/>
      <c r="D5" s="3" t="n"/>
      <c r="E5" s="3" t="inlineStr">
        <is>
          <t>Cables</t>
        </is>
      </c>
      <c r="F5" s="4" t="n">
        <v>92</v>
      </c>
      <c r="G5" s="3" t="n">
        <v>0</v>
      </c>
      <c r="H5" s="3" t="n">
        <v>0</v>
      </c>
      <c r="I5" s="4" t="n">
        <v>16</v>
      </c>
      <c r="J5" s="4" t="n">
        <v>360</v>
      </c>
      <c r="K5" s="4" t="n">
        <v>32</v>
      </c>
      <c r="L5" s="4" t="n">
        <v>128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inlineStr"/>
      <c r="U5" s="3" t="inlineStr"/>
      <c r="V5" s="3" t="inlineStr"/>
      <c r="W5" s="3" t="inlineStr"/>
      <c r="X5" s="4">
        <f>SUM(F5:W5)</f>
        <v/>
      </c>
    </row>
    <row r="6">
      <c r="A6" s="3" t="inlineStr">
        <is>
          <t>920-9N110-00F1-0C0</t>
        </is>
      </c>
      <c r="B6" s="3" t="inlineStr">
        <is>
          <t>NVDA SN2201 48x1GBaseT, 1U, 2AC PSU, P2C (P/I) Airflow, w/ Cumulus[MSN2201-CB2FC]</t>
        </is>
      </c>
      <c r="C6" s="3" t="inlineStr">
        <is>
          <t>920-9N110-00F1-0C0</t>
        </is>
      </c>
      <c r="D6" s="3" t="inlineStr">
        <is>
          <t>FTV62</t>
        </is>
      </c>
      <c r="E6" s="3" t="inlineStr">
        <is>
          <t>Switch</t>
        </is>
      </c>
      <c r="F6" s="3" t="n">
        <v>0</v>
      </c>
      <c r="G6" s="3" t="n">
        <v>0</v>
      </c>
      <c r="H6" s="4" t="n">
        <v>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inlineStr"/>
      <c r="U6" s="3" t="inlineStr"/>
      <c r="V6" s="3" t="inlineStr"/>
      <c r="W6" s="3" t="inlineStr"/>
      <c r="X6" s="4">
        <f>SUM(F6:W6)</f>
        <v/>
      </c>
    </row>
    <row r="7">
      <c r="A7" s="3" t="inlineStr">
        <is>
          <t>920-9N110-00R1- 0C0</t>
        </is>
      </c>
      <c r="B7" s="3" t="inlineStr">
        <is>
          <t>NVDA SN2201 48x1GBaseT, 1U, 2AC PSU, C2P (I/P) Airflow, w/ Cumulus[MSN2201-CB2RC]</t>
        </is>
      </c>
      <c r="C7" s="3" t="inlineStr">
        <is>
          <t>920-9N110-00R1-0C0</t>
        </is>
      </c>
      <c r="D7" s="3" t="inlineStr">
        <is>
          <t>TX78X</t>
        </is>
      </c>
      <c r="E7" s="3" t="inlineStr">
        <is>
          <t>Switch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205</v>
      </c>
      <c r="N7" s="4" t="n">
        <v>198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inlineStr"/>
      <c r="U7" s="3" t="inlineStr"/>
      <c r="V7" s="3" t="inlineStr"/>
      <c r="W7" s="3" t="inlineStr"/>
      <c r="X7" s="4">
        <f>SUM(F7:W7)</f>
        <v/>
      </c>
    </row>
    <row r="8">
      <c r="A8" s="3" t="inlineStr">
        <is>
          <t>920-9N110-00R1-NC0</t>
        </is>
      </c>
      <c r="B8" s="3" t="inlineStr">
        <is>
          <t>SN2201 48x1G + 4x100G, DC Busbar Air Cooled</t>
        </is>
      </c>
      <c r="C8" s="3" t="inlineStr">
        <is>
          <t>920-9N110-00R1-NC0</t>
        </is>
      </c>
      <c r="D8" s="3" t="inlineStr">
        <is>
          <t>J2MV9</t>
        </is>
      </c>
      <c r="E8" s="3" t="inlineStr">
        <is>
          <t>Switch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4" t="n">
        <v>116</v>
      </c>
      <c r="P8" s="4" t="n">
        <v>160</v>
      </c>
      <c r="Q8" s="4" t="n">
        <v>764</v>
      </c>
      <c r="R8" s="4" t="n">
        <v>764</v>
      </c>
      <c r="S8" s="4" t="n">
        <v>52</v>
      </c>
      <c r="T8" s="3" t="inlineStr"/>
      <c r="U8" s="3" t="inlineStr"/>
      <c r="V8" s="3" t="inlineStr"/>
      <c r="W8" s="3" t="inlineStr"/>
      <c r="X8" s="4">
        <f>SUM(F8:W8)</f>
        <v/>
      </c>
    </row>
    <row r="9">
      <c r="A9" s="3" t="inlineStr">
        <is>
          <t>920-9N110-01R1-NC0 (DPN: J2MV9)</t>
        </is>
      </c>
      <c r="B9" s="3" t="inlineStr">
        <is>
          <t>NVDA SN2201 48x1G (BT), 2AC PSU, C2P (I/P) Airflow, w/ BusBar, w/ Cumulus[MSN2201-CSMRC]</t>
        </is>
      </c>
      <c r="C9" s="3" t="inlineStr">
        <is>
          <t>920-9N110-00R1-NC0</t>
        </is>
      </c>
      <c r="D9" s="3" t="inlineStr">
        <is>
          <t>J2MV9</t>
        </is>
      </c>
      <c r="E9" s="3" t="inlineStr">
        <is>
          <t>Switch</t>
        </is>
      </c>
      <c r="F9" s="3" t="n">
        <v>0</v>
      </c>
      <c r="G9" s="3" t="n">
        <v>0</v>
      </c>
      <c r="H9" s="4" t="n">
        <v>8</v>
      </c>
      <c r="I9" s="4" t="n">
        <v>21</v>
      </c>
      <c r="J9" s="4" t="n">
        <v>92</v>
      </c>
      <c r="K9" s="4" t="n">
        <v>28</v>
      </c>
      <c r="L9" s="4" t="n">
        <v>75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inlineStr"/>
      <c r="U9" s="3" t="inlineStr"/>
      <c r="V9" s="3" t="inlineStr"/>
      <c r="W9" s="3" t="inlineStr"/>
      <c r="X9" s="4">
        <f>SUM(F9:W9)</f>
        <v/>
      </c>
    </row>
    <row r="10">
      <c r="A10" s="3" t="inlineStr">
        <is>
          <t>920-9N301-00RB-0C0</t>
        </is>
      </c>
      <c r="B10" s="3" t="inlineStr">
        <is>
          <t>NVDA SN4700 400GbE, 32xQSFPDD, 1U, 2AC PSU, C2P (I/P) Airflow, w/ Cumulus[MSN4700-WS2RC]</t>
        </is>
      </c>
      <c r="C10" s="3" t="inlineStr">
        <is>
          <t>920-9N301-00RB-0C0</t>
        </is>
      </c>
      <c r="D10" s="3" t="inlineStr">
        <is>
          <t>7F0JN</t>
        </is>
      </c>
      <c r="E10" s="3" t="inlineStr">
        <is>
          <t>Switch</t>
        </is>
      </c>
      <c r="F10" s="4" t="n">
        <v>2</v>
      </c>
      <c r="G10" s="4" t="n">
        <v>4</v>
      </c>
      <c r="H10" s="4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4</v>
      </c>
      <c r="N10" s="4" t="n">
        <v>4</v>
      </c>
      <c r="O10" s="4" t="n">
        <v>6</v>
      </c>
      <c r="P10" s="4" t="n">
        <v>6</v>
      </c>
      <c r="Q10" s="4" t="n">
        <v>8</v>
      </c>
      <c r="R10" s="4" t="n">
        <v>8</v>
      </c>
      <c r="S10" s="4" t="n">
        <v>6</v>
      </c>
      <c r="T10" s="3" t="inlineStr"/>
      <c r="U10" s="3" t="inlineStr"/>
      <c r="V10" s="3" t="inlineStr"/>
      <c r="W10" s="3" t="inlineStr"/>
      <c r="X10" s="4">
        <f>SUM(F10:W10)</f>
        <v/>
      </c>
    </row>
    <row r="11">
      <c r="A11" s="3" t="inlineStr">
        <is>
          <t>920-9N301-00RB-NC0</t>
        </is>
      </c>
      <c r="B11" s="3" t="inlineStr">
        <is>
          <t>SN4700D, Spectrum-3 based 400GbE 1U Open Ethernet Switch, 32 QSFPDD ports, 48VDC Busbar, x86 CPU, standard depth, C2P airflow, Rail Kit, with Cumulus</t>
        </is>
      </c>
      <c r="C11" s="3" t="inlineStr">
        <is>
          <t>920-9N301-00RB-NC0</t>
        </is>
      </c>
      <c r="D11" s="3" t="n"/>
      <c r="E11" s="3" t="inlineStr">
        <is>
          <t>Switch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4" t="n">
        <v>42</v>
      </c>
      <c r="P11" s="4" t="n">
        <v>64</v>
      </c>
      <c r="Q11" s="4" t="n">
        <v>256</v>
      </c>
      <c r="R11" s="4" t="n">
        <v>256</v>
      </c>
      <c r="S11" s="4" t="n">
        <v>18</v>
      </c>
      <c r="T11" s="3" t="inlineStr"/>
      <c r="U11" s="3" t="inlineStr"/>
      <c r="V11" s="3" t="inlineStr"/>
      <c r="W11" s="3" t="inlineStr"/>
      <c r="X11" s="4">
        <f>SUM(F11:W11)</f>
        <v/>
      </c>
    </row>
    <row r="12">
      <c r="A12" s="3" t="inlineStr">
        <is>
          <t>920-9N42F-00RI-3C1</t>
        </is>
      </c>
      <c r="B12" s="3" t="inlineStr">
        <is>
          <t>NVDA SN5610 2U 64xOSFP112, 4xAC PSU, C2P (I/P) Airflow, w/ Cumulus[MSN5610???]</t>
        </is>
      </c>
      <c r="C12" s="3" t="inlineStr">
        <is>
          <t>920-9N42F-00RI-3C1</t>
        </is>
      </c>
      <c r="D12" s="3" t="inlineStr">
        <is>
          <t>52MJM</t>
        </is>
      </c>
      <c r="E12" s="3" t="inlineStr">
        <is>
          <t>Switch</t>
        </is>
      </c>
      <c r="F12" s="4" t="n">
        <v>46</v>
      </c>
      <c r="G12" s="4" t="n">
        <v>428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4" t="n">
        <v>2</v>
      </c>
      <c r="P12" s="4" t="n">
        <v>2</v>
      </c>
      <c r="Q12" s="4" t="n">
        <v>2</v>
      </c>
      <c r="R12" s="4" t="n">
        <v>2</v>
      </c>
      <c r="S12" s="4" t="n">
        <v>2</v>
      </c>
      <c r="T12" s="3" t="inlineStr"/>
      <c r="U12" s="3" t="inlineStr"/>
      <c r="V12" s="3" t="inlineStr"/>
      <c r="W12" s="3" t="inlineStr"/>
      <c r="X12" s="4">
        <f>SUM(F12:W12)</f>
        <v/>
      </c>
    </row>
    <row r="13">
      <c r="A13" s="3" t="inlineStr">
        <is>
          <t>920-9N42F-00RI-KC0</t>
        </is>
      </c>
      <c r="B13" s="3" t="inlineStr">
        <is>
          <t>NVDA SN5600D 2U 64xOSFP112, DC BusBar, C2P (I/P) Airflow, w/ Cumulus[MSN5600D???]</t>
        </is>
      </c>
      <c r="C13" s="3" t="inlineStr">
        <is>
          <t>920-9N42F-00RI-KC0</t>
        </is>
      </c>
      <c r="D13" s="3" t="inlineStr">
        <is>
          <t>CTT0V</t>
        </is>
      </c>
      <c r="E13" s="3" t="inlineStr">
        <is>
          <t>Switch</t>
        </is>
      </c>
      <c r="F13" s="3" t="n">
        <v>0</v>
      </c>
      <c r="G13" s="3" t="n">
        <v>0</v>
      </c>
      <c r="H13" s="3" t="n">
        <v>0</v>
      </c>
      <c r="I13" s="4" t="n">
        <v>70</v>
      </c>
      <c r="J13" s="4" t="n">
        <v>338</v>
      </c>
      <c r="K13" s="4" t="n">
        <v>94</v>
      </c>
      <c r="L13" s="4" t="n">
        <v>280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inlineStr"/>
      <c r="U13" s="3" t="inlineStr"/>
      <c r="V13" s="3" t="inlineStr"/>
      <c r="W13" s="3" t="inlineStr"/>
      <c r="X13" s="4">
        <f>SUM(F13:W13)</f>
        <v/>
      </c>
    </row>
    <row r="14">
      <c r="A14" s="3" t="inlineStr">
        <is>
          <t>920-9N62F-00LI-GC1</t>
        </is>
      </c>
      <c r="B14" s="3" t="inlineStr">
        <is>
          <t>SN6600-LD - NVIDIA Spectrum-6 based 800GbE Ethernet switch with Cumulus Linux Authentication, 64 OSFP, 1 QSFP112, 48VDC Busbar, 8-Cores CPU, Secure-boot, Liquid-Cooling, Rail-Kit.</t>
        </is>
      </c>
      <c r="C14" s="3" t="inlineStr">
        <is>
          <t>920-9N62F-00LI-GC1</t>
        </is>
      </c>
      <c r="D14" s="3" t="inlineStr">
        <is>
          <t>3KF5K</t>
        </is>
      </c>
      <c r="E14" s="3" t="inlineStr">
        <is>
          <t>Switch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1176</v>
      </c>
      <c r="P14" s="4" t="n">
        <v>1528</v>
      </c>
      <c r="Q14" s="4" t="n">
        <v>6112</v>
      </c>
      <c r="R14" s="4" t="n">
        <v>6112</v>
      </c>
      <c r="S14" s="4" t="n">
        <v>544</v>
      </c>
      <c r="T14" s="3" t="inlineStr"/>
      <c r="U14" s="3" t="inlineStr"/>
      <c r="V14" s="3" t="inlineStr"/>
      <c r="W14" s="3" t="inlineStr"/>
      <c r="X14" s="4">
        <f>SUM(F14:W14)</f>
        <v/>
      </c>
    </row>
    <row r="15">
      <c r="A15" s="3" t="inlineStr">
        <is>
          <t>980-9I042-00C000</t>
        </is>
      </c>
      <c r="B15" s="3" t="inlineStr">
        <is>
          <t>NVDA XCVR, 100GbE, QSFP28, LC, 1310nm, Single Mode 1-lane (DR1), IP[MMS1V70-CM]</t>
        </is>
      </c>
      <c r="C15" s="3" t="inlineStr">
        <is>
          <t>980-9I042-00C000</t>
        </is>
      </c>
      <c r="D15" s="3" t="inlineStr">
        <is>
          <t>8XTGF</t>
        </is>
      </c>
      <c r="E15" s="3" t="inlineStr">
        <is>
          <t>Transceiver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4" t="n">
        <v>1502</v>
      </c>
      <c r="P15" s="4" t="n">
        <v>2250</v>
      </c>
      <c r="Q15" s="4" t="n">
        <v>9222</v>
      </c>
      <c r="R15" s="4" t="n">
        <v>9222</v>
      </c>
      <c r="S15" s="4" t="n">
        <v>654</v>
      </c>
      <c r="T15" s="3" t="inlineStr"/>
      <c r="U15" s="3" t="inlineStr"/>
      <c r="V15" s="3" t="inlineStr"/>
      <c r="W15" s="3" t="inlineStr"/>
      <c r="X15" s="4">
        <f>SUM(F15:W15)</f>
        <v/>
      </c>
    </row>
    <row r="16">
      <c r="A16" s="3" t="inlineStr">
        <is>
          <t>980-9I16Y-00W000</t>
        </is>
      </c>
      <c r="B16" s="3" t="inlineStr">
        <is>
          <t>NVDA  400G to 4x100, QSFD-DD,MPO,1310nm SMF, up to 500m, DR4 [MMS1V00-WM]</t>
        </is>
      </c>
      <c r="C16" s="3" t="inlineStr">
        <is>
          <t>980-9I16Y-00W000</t>
        </is>
      </c>
      <c r="D16" s="3" t="inlineStr">
        <is>
          <t>NRW8Y</t>
        </is>
      </c>
      <c r="E16" s="3" t="inlineStr">
        <is>
          <t>Transceiver</t>
        </is>
      </c>
      <c r="F16" s="4" t="n">
        <v>48</v>
      </c>
      <c r="G16" s="4" t="n">
        <v>32</v>
      </c>
      <c r="H16" s="4" t="n">
        <v>24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16</v>
      </c>
      <c r="N16" s="4" t="n">
        <v>16</v>
      </c>
      <c r="O16" s="4" t="n">
        <v>67</v>
      </c>
      <c r="P16" s="4" t="n">
        <v>89</v>
      </c>
      <c r="Q16" s="4" t="n">
        <v>2183</v>
      </c>
      <c r="R16" s="4" t="n">
        <v>2183</v>
      </c>
      <c r="S16" s="4" t="n">
        <v>152</v>
      </c>
      <c r="T16" s="3" t="inlineStr"/>
      <c r="U16" s="3" t="inlineStr"/>
      <c r="V16" s="3" t="inlineStr"/>
      <c r="W16" s="3" t="inlineStr"/>
      <c r="X16" s="4">
        <f>SUM(F16:W16)</f>
        <v/>
      </c>
    </row>
    <row r="17">
      <c r="A17" s="3" t="inlineStr">
        <is>
          <t>980-9I30G-F4NM00</t>
        </is>
      </c>
      <c r="B17" s="3" t="inlineStr">
        <is>
          <t>NVDA twin port XCVR, 800GbE,2x400,IPonly,O112,2xMPO12 APC,1310N SMF,to 500m,finned HIS[MMS4X00-NM-T]</t>
        </is>
      </c>
      <c r="C17" s="3" t="inlineStr">
        <is>
          <t>980-9I30G-F4NM00</t>
        </is>
      </c>
      <c r="D17" s="3" t="inlineStr">
        <is>
          <t>YW1C0</t>
        </is>
      </c>
      <c r="E17" s="3" t="inlineStr">
        <is>
          <t>Transceiver</t>
        </is>
      </c>
      <c r="F17" s="3" t="n">
        <v>0</v>
      </c>
      <c r="G17" s="3" t="n">
        <v>0</v>
      </c>
      <c r="H17" s="4" t="n">
        <v>20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792</v>
      </c>
      <c r="N17" s="4" t="n">
        <v>840</v>
      </c>
      <c r="O17" s="4" t="n">
        <v>16</v>
      </c>
      <c r="P17" s="4" t="n">
        <v>21</v>
      </c>
      <c r="Q17" s="4" t="n">
        <v>70</v>
      </c>
      <c r="R17" s="4" t="n">
        <v>70</v>
      </c>
      <c r="S17" s="4" t="n">
        <v>10</v>
      </c>
      <c r="T17" s="3" t="inlineStr"/>
      <c r="U17" s="3" t="inlineStr"/>
      <c r="V17" s="3" t="inlineStr"/>
      <c r="W17" s="3" t="inlineStr"/>
      <c r="X17" s="4">
        <f>SUM(F17:W17)</f>
        <v/>
      </c>
    </row>
    <row r="18">
      <c r="A18" s="3" t="inlineStr">
        <is>
          <t>980-9IAJ0-00XM00</t>
        </is>
      </c>
      <c r="B18" s="3" t="inlineStr">
        <is>
          <t>NVIDIA twin port XCVR, 2xDR4,1600Gbps,OSFP, 2xMPO(APC), 1310nm SMF, up to 500m, RHS, TRO, IP Only</t>
        </is>
      </c>
      <c r="C18" s="3" t="inlineStr">
        <is>
          <t>980-9IAJ0-00XM00</t>
        </is>
      </c>
      <c r="D18" s="3" t="inlineStr">
        <is>
          <t>M5G88</t>
        </is>
      </c>
      <c r="E18" s="3" t="inlineStr">
        <is>
          <t>Transceiver</t>
        </is>
      </c>
      <c r="F18" s="3" t="n">
        <v>0</v>
      </c>
      <c r="G18" s="3" t="n">
        <v>0</v>
      </c>
      <c r="H18" s="4" t="n">
        <v>288</v>
      </c>
      <c r="I18" s="3" t="n">
        <v>0</v>
      </c>
      <c r="J18" s="4" t="n">
        <v>54432</v>
      </c>
      <c r="K18" s="4" t="n">
        <v>15120</v>
      </c>
      <c r="L18" s="4" t="n">
        <v>30240</v>
      </c>
      <c r="M18" s="3" t="n">
        <v>0</v>
      </c>
      <c r="N18" s="3" t="n">
        <v>0</v>
      </c>
      <c r="O18" s="4" t="n">
        <v>84672</v>
      </c>
      <c r="P18" s="4" t="n">
        <v>129024</v>
      </c>
      <c r="Q18" s="4" t="n">
        <v>516096</v>
      </c>
      <c r="R18" s="4" t="n">
        <v>516096</v>
      </c>
      <c r="S18" s="4" t="n">
        <v>27360</v>
      </c>
      <c r="T18" s="3" t="inlineStr"/>
      <c r="U18" s="3" t="inlineStr"/>
      <c r="V18" s="3" t="inlineStr"/>
      <c r="W18" s="3" t="inlineStr"/>
      <c r="X18" s="4">
        <f>SUM(F18:W18)</f>
        <v/>
      </c>
    </row>
    <row r="19">
      <c r="A19" s="3" t="inlineStr">
        <is>
          <t>A7204378</t>
        </is>
      </c>
      <c r="B19" s="3" t="inlineStr">
        <is>
          <t>Switch Xcvr to LC Patch Panel LC-LC short leg patch cable, Other end is MPO to 4xLC to OOB Spine</t>
        </is>
      </c>
      <c r="C19" s="3" t="n"/>
      <c r="D19" s="3" t="n"/>
      <c r="E19" s="3" t="inlineStr">
        <is>
          <t>Cables</t>
        </is>
      </c>
      <c r="F19" s="3" t="n">
        <v>0</v>
      </c>
      <c r="G19" s="3" t="n">
        <v>0</v>
      </c>
      <c r="H19" s="4" t="n">
        <v>12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inlineStr"/>
      <c r="U19" s="3" t="inlineStr"/>
      <c r="V19" s="3" t="inlineStr"/>
      <c r="W19" s="3" t="inlineStr"/>
      <c r="X19" s="4">
        <f>SUM(F19:W19)</f>
        <v/>
      </c>
    </row>
    <row r="20">
      <c r="A20" s="3" t="inlineStr">
        <is>
          <t>Aircool AC Rack</t>
        </is>
      </c>
      <c r="B20" s="3" t="inlineStr"/>
      <c r="C20" s="3" t="inlineStr">
        <is>
          <t>Aircool AC Rack</t>
        </is>
      </c>
      <c r="D20" s="3" t="inlineStr"/>
      <c r="E20" s="3" t="inlineStr">
        <is>
          <t>Other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4" t="n">
        <v>28</v>
      </c>
      <c r="U20" s="4" t="n">
        <v>28</v>
      </c>
      <c r="V20" s="4" t="n">
        <v>50</v>
      </c>
      <c r="W20" s="4" t="n">
        <v>32</v>
      </c>
      <c r="X20" s="4">
        <f>SUM(F20:W20)</f>
        <v/>
      </c>
    </row>
    <row r="21">
      <c r="A21" s="3" t="inlineStr">
        <is>
          <t>C4X6C VSR4</t>
        </is>
      </c>
      <c r="B21" s="3" t="inlineStr">
        <is>
          <t>Hisense 80C multi‑mode QSFP112 transceiver</t>
        </is>
      </c>
      <c r="C21" s="3" t="n"/>
      <c r="D21" s="3" t="n"/>
      <c r="E21" s="3" t="inlineStr">
        <is>
          <t>Transceiver</t>
        </is>
      </c>
      <c r="F21" s="4" t="n">
        <v>176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4" t="n">
        <v>188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inlineStr"/>
      <c r="U21" s="3" t="inlineStr"/>
      <c r="V21" s="3" t="inlineStr"/>
      <c r="W21" s="3" t="inlineStr"/>
      <c r="X21" s="4">
        <f>SUM(F21:W21)</f>
        <v/>
      </c>
    </row>
    <row r="22">
      <c r="A22" s="3" t="inlineStr">
        <is>
          <t>CAT6 Thin 10M</t>
        </is>
      </c>
      <c r="B22" s="3" t="inlineStr"/>
      <c r="C22" s="3" t="inlineStr">
        <is>
          <t>CAT6 Thin 10M</t>
        </is>
      </c>
      <c r="D22" s="3" t="inlineStr"/>
      <c r="E22" s="3" t="inlineStr">
        <is>
          <t>Other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4" t="n">
        <v>4048</v>
      </c>
      <c r="U22" s="4" t="n">
        <v>4048</v>
      </c>
      <c r="V22" s="4" t="n">
        <v>8510</v>
      </c>
      <c r="W22" s="4" t="n">
        <v>5198</v>
      </c>
      <c r="X22" s="4">
        <f>SUM(F22:W22)</f>
        <v/>
      </c>
    </row>
    <row r="23">
      <c r="A23" s="3" t="inlineStr">
        <is>
          <t>CAT6 Thin 3M</t>
        </is>
      </c>
      <c r="B23" s="3" t="inlineStr"/>
      <c r="C23" s="3" t="inlineStr">
        <is>
          <t>CAT6 Thin 3M</t>
        </is>
      </c>
      <c r="D23" s="3" t="inlineStr"/>
      <c r="E23" s="3" t="inlineStr">
        <is>
          <t>Other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4" t="n">
        <v>10304</v>
      </c>
      <c r="U23" s="4" t="n">
        <v>10304</v>
      </c>
      <c r="V23" s="4" t="n">
        <v>21896</v>
      </c>
      <c r="W23" s="4" t="n">
        <v>11592</v>
      </c>
      <c r="X23" s="4">
        <f>SUM(F23:W23)</f>
        <v/>
      </c>
    </row>
    <row r="24">
      <c r="A24" s="3" t="inlineStr">
        <is>
          <t>Cat 6 Cable</t>
        </is>
      </c>
      <c r="B24" s="3" t="inlineStr">
        <is>
          <t>NVIDIA Spectrum-6 based 800GbE Ethernet switch with Cumulus Linux Authentication, 64 OSFP, 1 QSFP112, 48VDC Busbar, 8-Cores CPU, Secure-boot, Liquid-Cooling, Rail-Kit.D39</t>
        </is>
      </c>
      <c r="C24" s="3" t="n"/>
      <c r="D24" s="3" t="n"/>
      <c r="E24" s="3" t="inlineStr">
        <is>
          <t>Cables</t>
        </is>
      </c>
      <c r="F24" s="3" t="n">
        <v>0</v>
      </c>
      <c r="G24" s="3" t="n">
        <v>0</v>
      </c>
      <c r="H24" s="4" t="n">
        <v>32</v>
      </c>
      <c r="I24" s="3" t="n">
        <v>0</v>
      </c>
      <c r="J24" s="4" t="n">
        <v>864</v>
      </c>
      <c r="K24" s="4" t="n">
        <v>256</v>
      </c>
      <c r="L24" s="4" t="n">
        <v>480</v>
      </c>
      <c r="M24" s="4" t="n">
        <v>242</v>
      </c>
      <c r="N24" s="4" t="n">
        <v>234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inlineStr"/>
      <c r="U24" s="3" t="inlineStr"/>
      <c r="V24" s="3" t="inlineStr"/>
      <c r="W24" s="3" t="inlineStr"/>
      <c r="X24" s="4">
        <f>SUM(F24:W24)</f>
        <v/>
      </c>
    </row>
    <row r="25">
      <c r="A25" s="3" t="inlineStr">
        <is>
          <t>Corning 4x100 Breakout PP</t>
        </is>
      </c>
      <c r="B25" s="3" t="inlineStr">
        <is>
          <t>Final Count will come from Actual BOM</t>
        </is>
      </c>
      <c r="C25" s="3" t="n"/>
      <c r="D25" s="3" t="n"/>
      <c r="E25" s="3" t="inlineStr">
        <is>
          <t>Transceiver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24</v>
      </c>
      <c r="K25" s="4" t="n">
        <v>8</v>
      </c>
      <c r="L25" s="4" t="n">
        <v>24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inlineStr"/>
      <c r="U25" s="3" t="inlineStr"/>
      <c r="V25" s="3" t="inlineStr"/>
      <c r="W25" s="3" t="inlineStr"/>
      <c r="X25" s="4">
        <f>SUM(F25:W25)</f>
        <v/>
      </c>
    </row>
    <row r="26">
      <c r="A26" s="3" t="inlineStr">
        <is>
          <t>D3P20</t>
        </is>
      </c>
      <c r="B26" s="3" t="inlineStr">
        <is>
          <t>MOD,CBL,MPO12-APC,SMF,5M</t>
        </is>
      </c>
      <c r="C26" s="3" t="n"/>
      <c r="D26" s="3" t="n"/>
      <c r="E26" s="3" t="inlineStr">
        <is>
          <t>Cables</t>
        </is>
      </c>
      <c r="F26" s="4" t="n">
        <v>12</v>
      </c>
      <c r="G26" s="4" t="n">
        <v>24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8</v>
      </c>
      <c r="N26" s="4" t="n">
        <v>8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inlineStr"/>
      <c r="U26" s="3" t="inlineStr"/>
      <c r="V26" s="3" t="inlineStr"/>
      <c r="W26" s="3" t="inlineStr"/>
      <c r="X26" s="4">
        <f>SUM(F26:W26)</f>
        <v/>
      </c>
    </row>
    <row r="27">
      <c r="A27" s="3" t="inlineStr">
        <is>
          <t>DLC DC Rack</t>
        </is>
      </c>
      <c r="B27" s="3" t="inlineStr"/>
      <c r="C27" s="3" t="inlineStr">
        <is>
          <t>DLC DC Rack</t>
        </is>
      </c>
      <c r="D27" s="3" t="inlineStr"/>
      <c r="E27" s="3" t="inlineStr">
        <is>
          <t>Other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4" t="n">
        <v>48</v>
      </c>
      <c r="U27" s="4" t="n">
        <v>24</v>
      </c>
      <c r="V27" s="4" t="n">
        <v>52</v>
      </c>
      <c r="W27" s="4" t="n">
        <v>36</v>
      </c>
      <c r="X27" s="4">
        <f>SUM(F27:W27)</f>
        <v/>
      </c>
    </row>
    <row r="28">
      <c r="A28" s="3" t="inlineStr">
        <is>
          <t>EDGE-03U-8B2X2G</t>
        </is>
      </c>
      <c r="B28" s="3" t="inlineStr">
        <is>
          <t>3U EDGE Shuffling Housing, Holds 8_2x2 Type B Modules for 128 input x 128 output ports</t>
        </is>
      </c>
      <c r="C28" s="3" t="n"/>
      <c r="D28" s="3" t="n"/>
      <c r="E28" s="3" t="inlineStr">
        <is>
          <t>Rack</t>
        </is>
      </c>
      <c r="F28" s="4" t="n">
        <v>16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inlineStr"/>
      <c r="U28" s="3" t="inlineStr"/>
      <c r="V28" s="3" t="inlineStr"/>
      <c r="W28" s="3" t="inlineStr"/>
      <c r="X28" s="4">
        <f>SUM(F28:W28)</f>
        <v/>
      </c>
    </row>
    <row r="29">
      <c r="A29" s="3" t="inlineStr">
        <is>
          <t>Fiber Jumper Cable</t>
        </is>
      </c>
      <c r="B29" s="3" t="n"/>
      <c r="C29" s="3" t="n"/>
      <c r="D29" s="3" t="n"/>
      <c r="E29" s="3" t="inlineStr">
        <is>
          <t>Cables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72576</v>
      </c>
      <c r="K29" s="3" t="n">
        <v>0</v>
      </c>
      <c r="L29" s="4" t="n">
        <v>30240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inlineStr"/>
      <c r="U29" s="3" t="inlineStr"/>
      <c r="V29" s="3" t="inlineStr"/>
      <c r="W29" s="3" t="inlineStr"/>
      <c r="X29" s="4">
        <f>SUM(F29:W29)</f>
        <v/>
      </c>
    </row>
    <row r="30">
      <c r="A30" s="3" t="inlineStr">
        <is>
          <t>Fiber Jumper cables</t>
        </is>
      </c>
      <c r="B30" s="3" t="inlineStr">
        <is>
          <t>Jumper cables from shiuffle box to leaf</t>
        </is>
      </c>
      <c r="C30" s="3" t="n"/>
      <c r="D30" s="3" t="n"/>
      <c r="E30" s="3" t="inlineStr">
        <is>
          <t>Cables</t>
        </is>
      </c>
      <c r="F30" s="3" t="n">
        <v>0</v>
      </c>
      <c r="G30" s="3" t="n">
        <v>0</v>
      </c>
      <c r="H30" s="4" t="n">
        <v>576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inlineStr"/>
      <c r="U30" s="3" t="inlineStr"/>
      <c r="V30" s="3" t="inlineStr"/>
      <c r="W30" s="3" t="inlineStr"/>
      <c r="X30" s="4">
        <f>SUM(F30:W30)</f>
        <v/>
      </c>
    </row>
    <row r="31">
      <c r="A31" s="3" t="inlineStr">
        <is>
          <t>Fiber panel T1-NtwkRack</t>
        </is>
      </c>
      <c r="B31" s="3" t="inlineStr"/>
      <c r="C31" s="3" t="inlineStr">
        <is>
          <t>Fiber panel T1-NtwkRack</t>
        </is>
      </c>
      <c r="D31" s="3" t="inlineStr"/>
      <c r="E31" s="3" t="inlineStr">
        <is>
          <t>Rack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4" t="n">
        <v>256</v>
      </c>
      <c r="U31" s="3" t="inlineStr"/>
      <c r="V31" s="3" t="inlineStr"/>
      <c r="W31" s="3" t="inlineStr"/>
      <c r="X31" s="4">
        <f>SUM(F31:W31)</f>
        <v/>
      </c>
    </row>
    <row r="32">
      <c r="A32" s="3" t="inlineStr">
        <is>
          <t>Fiber panel per T1-NtwkRack</t>
        </is>
      </c>
      <c r="B32" s="3" t="inlineStr"/>
      <c r="C32" s="3" t="inlineStr">
        <is>
          <t>Fiber panel per T1-NtwkRack</t>
        </is>
      </c>
      <c r="D32" s="3" t="inlineStr"/>
      <c r="E32" s="3" t="inlineStr">
        <is>
          <t>Rack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4" t="n">
        <v>8</v>
      </c>
      <c r="U32" s="3" t="inlineStr"/>
      <c r="V32" s="3" t="inlineStr"/>
      <c r="W32" s="3" t="inlineStr"/>
      <c r="X32" s="4">
        <f>SUM(F32:W32)</f>
        <v/>
      </c>
    </row>
    <row r="33">
      <c r="A33" s="3" t="inlineStr">
        <is>
          <t>Fiber shuffle cassette</t>
        </is>
      </c>
      <c r="B33" s="3" t="inlineStr"/>
      <c r="C33" s="3" t="inlineStr">
        <is>
          <t>Fiber shuffle cassette</t>
        </is>
      </c>
      <c r="D33" s="3" t="inlineStr"/>
      <c r="E33" s="3" t="inlineStr">
        <is>
          <t>Rack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4" t="n">
        <v>4032</v>
      </c>
      <c r="U33" s="3" t="inlineStr"/>
      <c r="V33" s="3" t="inlineStr"/>
      <c r="W33" s="3" t="inlineStr"/>
      <c r="X33" s="4">
        <f>SUM(F33:W33)</f>
        <v/>
      </c>
    </row>
    <row r="34">
      <c r="A34" s="3" t="inlineStr">
        <is>
          <t>Fiber shuffle cassette per T1-NtwkRack</t>
        </is>
      </c>
      <c r="B34" s="3" t="inlineStr"/>
      <c r="C34" s="3" t="inlineStr">
        <is>
          <t>Fiber shuffle cassette per T1-NtwkRack</t>
        </is>
      </c>
      <c r="D34" s="3" t="inlineStr"/>
      <c r="E34" s="3" t="inlineStr">
        <is>
          <t>Rack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4" t="n">
        <v>126</v>
      </c>
      <c r="U34" s="3" t="inlineStr"/>
      <c r="V34" s="3" t="inlineStr"/>
      <c r="W34" s="3" t="inlineStr"/>
      <c r="X34" s="4">
        <f>SUM(F34:W34)</f>
        <v/>
      </c>
    </row>
    <row r="35">
      <c r="A35" s="3" t="inlineStr">
        <is>
          <t>FiberPanel</t>
        </is>
      </c>
      <c r="B35" s="3" t="inlineStr">
        <is>
          <t>2U Panel</t>
        </is>
      </c>
      <c r="C35" s="3" t="inlineStr">
        <is>
          <t>FiberPanel</t>
        </is>
      </c>
      <c r="D35" s="3" t="n"/>
      <c r="E35" s="3" t="inlineStr">
        <is>
          <t>Rack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4" t="n">
        <v>3584</v>
      </c>
      <c r="R35" s="4" t="n">
        <v>3584</v>
      </c>
      <c r="S35" s="3" t="n">
        <v>0</v>
      </c>
      <c r="T35" s="3" t="inlineStr"/>
      <c r="U35" s="3" t="inlineStr"/>
      <c r="V35" s="3" t="inlineStr"/>
      <c r="W35" s="3" t="inlineStr"/>
      <c r="X35" s="4">
        <f>SUM(F35:W35)</f>
        <v/>
      </c>
    </row>
    <row r="36">
      <c r="A36" s="3" t="inlineStr">
        <is>
          <t>FiberPanel - 2U</t>
        </is>
      </c>
      <c r="B36" s="3" t="inlineStr">
        <is>
          <t>One Patch Panel to rack where SN4700 is installed since 4x100G cable length max size is 5m</t>
        </is>
      </c>
      <c r="C36" s="3" t="n"/>
      <c r="D36" s="3" t="n"/>
      <c r="E36" s="3" t="inlineStr">
        <is>
          <t>Cables</t>
        </is>
      </c>
      <c r="F36" s="3" t="n">
        <v>0</v>
      </c>
      <c r="G36" s="4" t="n">
        <v>4</v>
      </c>
      <c r="H36" s="4" t="n">
        <v>4</v>
      </c>
      <c r="I36" s="4" t="n">
        <v>4</v>
      </c>
      <c r="J36" s="4" t="n">
        <v>512</v>
      </c>
      <c r="K36" s="3" t="n">
        <v>0</v>
      </c>
      <c r="L36" s="4" t="n">
        <v>240</v>
      </c>
      <c r="M36" s="3" t="n">
        <v>0</v>
      </c>
      <c r="N36" s="4" t="n">
        <v>4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inlineStr"/>
      <c r="U36" s="3" t="inlineStr"/>
      <c r="V36" s="3" t="inlineStr"/>
      <c r="W36" s="3" t="inlineStr"/>
      <c r="X36" s="4">
        <f>SUM(F36:W36)</f>
        <v/>
      </c>
    </row>
    <row r="37">
      <c r="A37" s="3" t="inlineStr">
        <is>
          <t>Fibre Shuffle Cassettes</t>
        </is>
      </c>
      <c r="B37" s="3" t="inlineStr">
        <is>
          <t>Cassette /SU for Leaf Rack GPU to Leaf [Hosted in Leaf rack] - - MPO-8 4x4 Shuffle Module, 4x8f MPO/APC pinned rear to 4X8f MPO/APC pinned front</t>
        </is>
      </c>
      <c r="C37" s="3" t="inlineStr">
        <is>
          <t>Fibre Shuffle Cassettes</t>
        </is>
      </c>
      <c r="D37" s="3" t="n"/>
      <c r="E37" s="3" t="inlineStr">
        <is>
          <t>Rack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4" t="n">
        <v>10584</v>
      </c>
      <c r="P37" s="4" t="n">
        <v>16128</v>
      </c>
      <c r="Q37" s="4" t="n">
        <v>129024</v>
      </c>
      <c r="R37" s="4" t="n">
        <v>129024</v>
      </c>
      <c r="S37" s="4" t="n">
        <v>4536</v>
      </c>
      <c r="T37" s="3" t="inlineStr"/>
      <c r="U37" s="3" t="inlineStr"/>
      <c r="V37" s="3" t="inlineStr"/>
      <c r="W37" s="3" t="inlineStr"/>
      <c r="X37" s="4">
        <f>SUM(F37:W37)</f>
        <v/>
      </c>
    </row>
    <row r="38">
      <c r="A38" s="3" t="inlineStr">
        <is>
          <t>GEDEDU8GPN-008-U030M</t>
        </is>
      </c>
      <c r="B38" s="3" t="inlineStr">
        <is>
          <t>288f Trunk, SMF, MPO8 APC Non-pinned to MPO8 APC Non-pinned, Type B Polarity, 8' leg length</t>
        </is>
      </c>
      <c r="C38" s="3" t="n"/>
      <c r="D38" s="3" t="n"/>
      <c r="E38" s="3" t="inlineStr">
        <is>
          <t>Rack</t>
        </is>
      </c>
      <c r="F38" s="4" t="n">
        <v>64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inlineStr"/>
      <c r="U38" s="3" t="inlineStr"/>
      <c r="V38" s="3" t="inlineStr"/>
      <c r="W38" s="3" t="inlineStr"/>
      <c r="X38" s="4">
        <f>SUM(F38:W38)</f>
        <v/>
      </c>
    </row>
    <row r="39">
      <c r="A39" s="3" t="inlineStr">
        <is>
          <t>IR5000</t>
        </is>
      </c>
      <c r="B39" s="3" t="inlineStr">
        <is>
          <t>IR5000/750mm</t>
        </is>
      </c>
      <c r="C39" s="3" t="n"/>
      <c r="D39" s="3" t="n"/>
      <c r="E39" s="3" t="inlineStr">
        <is>
          <t>Rack</t>
        </is>
      </c>
      <c r="F39" s="3" t="n">
        <v>0</v>
      </c>
      <c r="G39" s="3" t="n">
        <v>0</v>
      </c>
      <c r="H39" s="4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inlineStr"/>
      <c r="U39" s="3" t="inlineStr"/>
      <c r="V39" s="3" t="inlineStr"/>
      <c r="W39" s="3" t="inlineStr"/>
      <c r="X39" s="4">
        <f>SUM(F39:W39)</f>
        <v/>
      </c>
    </row>
    <row r="40">
      <c r="A40" s="3" t="inlineStr">
        <is>
          <t>IR9048</t>
        </is>
      </c>
      <c r="B40" s="3" t="inlineStr">
        <is>
          <t>750mm x 1200mm/ 48RU</t>
        </is>
      </c>
      <c r="C40" s="3" t="n"/>
      <c r="D40" s="3" t="n"/>
      <c r="E40" s="3" t="inlineStr">
        <is>
          <t>Rack</t>
        </is>
      </c>
      <c r="F40" s="4" t="n">
        <v>4</v>
      </c>
      <c r="G40" s="3" t="n">
        <v>0</v>
      </c>
      <c r="H40" s="3" t="n">
        <v>0</v>
      </c>
      <c r="I40" s="4" t="n">
        <v>11</v>
      </c>
      <c r="J40" s="4" t="n">
        <v>36</v>
      </c>
      <c r="K40" s="4" t="n">
        <v>13</v>
      </c>
      <c r="L40" s="4" t="n">
        <v>30</v>
      </c>
      <c r="M40" s="3" t="n">
        <v>0</v>
      </c>
      <c r="N40" s="3" t="n">
        <v>0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3" t="inlineStr"/>
      <c r="U40" s="3" t="inlineStr"/>
      <c r="V40" s="3" t="inlineStr"/>
      <c r="W40" s="3" t="inlineStr"/>
      <c r="X40" s="4">
        <f>SUM(F40:W40)</f>
        <v/>
      </c>
    </row>
    <row r="41">
      <c r="A41" s="3" t="inlineStr">
        <is>
          <t>IR9148</t>
        </is>
      </c>
      <c r="B41" s="3" t="inlineStr">
        <is>
          <t>750mm x 1200mm/ 48RU</t>
        </is>
      </c>
      <c r="C41" s="3" t="n"/>
      <c r="D41" s="3" t="n"/>
      <c r="E41" s="3" t="inlineStr">
        <is>
          <t>Rack</t>
        </is>
      </c>
      <c r="F41" s="3" t="n">
        <v>0</v>
      </c>
      <c r="G41" s="4" t="n">
        <v>2</v>
      </c>
      <c r="H41" s="3" t="n">
        <v>0</v>
      </c>
      <c r="I41" s="3" t="n">
        <v>0</v>
      </c>
      <c r="J41" s="3" t="n">
        <v>0</v>
      </c>
      <c r="K41" s="4" t="n">
        <v>32</v>
      </c>
      <c r="L41" s="3" t="n">
        <v>0</v>
      </c>
      <c r="M41" s="4" t="n">
        <v>2</v>
      </c>
      <c r="N41" s="4" t="n">
        <v>2</v>
      </c>
      <c r="O41" s="4" t="n">
        <v>116</v>
      </c>
      <c r="P41" s="4" t="n">
        <v>160</v>
      </c>
      <c r="Q41" s="4" t="n">
        <v>764</v>
      </c>
      <c r="R41" s="4" t="n">
        <v>764</v>
      </c>
      <c r="S41" s="4" t="n">
        <v>52</v>
      </c>
      <c r="T41" s="3" t="inlineStr"/>
      <c r="U41" s="3" t="inlineStr"/>
      <c r="V41" s="3" t="inlineStr"/>
      <c r="W41" s="3" t="inlineStr"/>
      <c r="X41" s="4">
        <f>SUM(F41:W41)</f>
        <v/>
      </c>
    </row>
    <row r="42">
      <c r="A42" s="3" t="inlineStr">
        <is>
          <t>IR9149</t>
        </is>
      </c>
      <c r="B42" s="3" t="inlineStr">
        <is>
          <t>IR9000/750mmx1200mm/48U</t>
        </is>
      </c>
      <c r="C42" s="3" t="n"/>
      <c r="D42" s="3" t="n"/>
      <c r="E42" s="3" t="inlineStr">
        <is>
          <t>Rack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40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inlineStr"/>
      <c r="U42" s="3" t="inlineStr"/>
      <c r="V42" s="3" t="inlineStr"/>
      <c r="W42" s="3" t="inlineStr"/>
      <c r="X42" s="4">
        <f>SUM(F42:W42)</f>
        <v/>
      </c>
    </row>
    <row r="43">
      <c r="A43" s="3" t="inlineStr">
        <is>
          <t>J6TD3</t>
        </is>
      </c>
      <c r="B43" s="3" t="inlineStr">
        <is>
          <t>CBL-MPO12-4LC-SM-5M</t>
        </is>
      </c>
      <c r="C43" s="3" t="n"/>
      <c r="D43" s="3" t="n"/>
      <c r="E43" s="3" t="inlineStr">
        <is>
          <t>Cables</t>
        </is>
      </c>
      <c r="F43" s="4" t="n">
        <v>24</v>
      </c>
      <c r="G43" s="3" t="n">
        <v>0</v>
      </c>
      <c r="H43" s="4" t="n">
        <v>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inlineStr"/>
      <c r="U43" s="3" t="inlineStr"/>
      <c r="V43" s="3" t="inlineStr"/>
      <c r="W43" s="3" t="inlineStr"/>
      <c r="X43" s="4">
        <f>SUM(F43:W43)</f>
        <v/>
      </c>
    </row>
    <row r="44">
      <c r="A44" s="3" t="inlineStr">
        <is>
          <t>JEDED08GE8-NB003M</t>
        </is>
      </c>
      <c r="B44" s="3" t="inlineStr">
        <is>
          <t>8f Jumper, SMF, MPO8 APC Non-pinned to MPO8 APC Non-pinned, Type B Polarity</t>
        </is>
      </c>
      <c r="C44" s="3" t="n"/>
      <c r="D44" s="3" t="n"/>
      <c r="E44" s="3" t="inlineStr">
        <is>
          <t>Rack</t>
        </is>
      </c>
      <c r="F44" s="4" t="n">
        <v>2048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inlineStr"/>
      <c r="U44" s="3" t="inlineStr"/>
      <c r="V44" s="3" t="inlineStr"/>
      <c r="W44" s="3" t="inlineStr"/>
      <c r="X44" s="4">
        <f>SUM(F44:W44)</f>
        <v/>
      </c>
    </row>
    <row r="45">
      <c r="A45" s="3" t="inlineStr">
        <is>
          <t>LC QSFP28-100G-DR1</t>
        </is>
      </c>
      <c r="B45" s="3" t="inlineStr"/>
      <c r="C45" s="3" t="inlineStr">
        <is>
          <t>LC QSFP28-100G-DR1</t>
        </is>
      </c>
      <c r="D45" s="3" t="inlineStr"/>
      <c r="E45" s="3" t="inlineStr">
        <is>
          <t>Other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4" t="n">
        <v>678</v>
      </c>
      <c r="U45" s="4" t="n">
        <v>678</v>
      </c>
      <c r="V45" s="4" t="n">
        <v>1412</v>
      </c>
      <c r="W45" s="4" t="n">
        <v>788</v>
      </c>
      <c r="X45" s="4">
        <f>SUM(F45:W45)</f>
        <v/>
      </c>
    </row>
    <row r="46">
      <c r="A46" s="3" t="inlineStr">
        <is>
          <t>MFP7E10-N05</t>
        </is>
      </c>
      <c r="B46" s="3" t="inlineStr">
        <is>
          <t>(MPO‑12) multimode fiber cable Type‑B</t>
        </is>
      </c>
      <c r="C46" s="3" t="n"/>
      <c r="D46" s="3" t="n"/>
      <c r="E46" s="3" t="inlineStr">
        <is>
          <t>Cables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inlineStr"/>
      <c r="U46" s="3" t="inlineStr"/>
      <c r="V46" s="3" t="inlineStr"/>
      <c r="W46" s="3" t="inlineStr"/>
      <c r="X46" s="4">
        <f>SUM(F46:W46)</f>
        <v/>
      </c>
    </row>
    <row r="47">
      <c r="A47" s="3" t="inlineStr">
        <is>
          <t>MFP7E10-N050</t>
        </is>
      </c>
      <c r="B47" s="3" t="inlineStr">
        <is>
          <t>MultiMode Fiber 5 meter MPO12/APC OM4</t>
        </is>
      </c>
      <c r="C47" s="3" t="n"/>
      <c r="D47" s="3" t="n"/>
      <c r="E47" s="3" t="inlineStr">
        <is>
          <t>Cables</t>
        </is>
      </c>
      <c r="F47" s="3" t="n">
        <v>0</v>
      </c>
      <c r="G47" s="3" t="n">
        <v>0</v>
      </c>
      <c r="H47" s="3" t="n">
        <v>0</v>
      </c>
      <c r="I47" s="4" t="n">
        <v>992</v>
      </c>
      <c r="J47" s="3" t="n">
        <v>0</v>
      </c>
      <c r="K47" s="4" t="n">
        <v>1488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inlineStr"/>
      <c r="U47" s="3" t="inlineStr"/>
      <c r="V47" s="3" t="inlineStr"/>
      <c r="W47" s="3" t="inlineStr"/>
      <c r="X47" s="4">
        <f>SUM(F47:W47)</f>
        <v/>
      </c>
    </row>
    <row r="48">
      <c r="A48" s="3" t="inlineStr">
        <is>
          <t>MFP7E10‑N005</t>
        </is>
      </c>
      <c r="B48" s="3" t="inlineStr">
        <is>
          <t>MultiMode Fiber  MPO12/APC OM4 Type-B - 5 meter</t>
        </is>
      </c>
      <c r="C48" s="3" t="n"/>
      <c r="D48" s="3" t="n"/>
      <c r="E48" s="3" t="inlineStr">
        <is>
          <t>Cables</t>
        </is>
      </c>
      <c r="F48" s="4" t="n">
        <v>176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inlineStr"/>
      <c r="U48" s="3" t="inlineStr"/>
      <c r="V48" s="3" t="inlineStr"/>
      <c r="W48" s="3" t="inlineStr"/>
      <c r="X48" s="4">
        <f>SUM(F48:W48)</f>
        <v/>
      </c>
    </row>
    <row r="49">
      <c r="A49" s="3" t="inlineStr">
        <is>
          <t>MFP7E30-N050</t>
        </is>
      </c>
      <c r="B49" s="3" t="inlineStr">
        <is>
          <t>MPO-12/APC to MPO-12/APC cable, 1310nm SMF OS2, 100m max, 50 M</t>
        </is>
      </c>
      <c r="C49" s="3" t="n"/>
      <c r="D49" s="3" t="n"/>
      <c r="E49" s="3" t="inlineStr">
        <is>
          <t>Cables</t>
        </is>
      </c>
      <c r="F49" s="3" t="n">
        <v>0</v>
      </c>
      <c r="G49" s="3" t="n">
        <v>0</v>
      </c>
      <c r="H49" s="4" t="n">
        <v>8</v>
      </c>
      <c r="I49" s="4" t="n">
        <v>24</v>
      </c>
      <c r="J49" s="4" t="n">
        <v>88</v>
      </c>
      <c r="K49" s="4" t="n">
        <v>208</v>
      </c>
      <c r="L49" s="4" t="n">
        <v>7640</v>
      </c>
      <c r="M49" s="4" t="n">
        <v>8</v>
      </c>
      <c r="N49" s="4" t="n">
        <v>8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inlineStr"/>
      <c r="U49" s="3" t="inlineStr"/>
      <c r="V49" s="3" t="inlineStr"/>
      <c r="W49" s="3" t="inlineStr"/>
      <c r="X49" s="4">
        <f>SUM(F49:W49)</f>
        <v/>
      </c>
    </row>
    <row r="50">
      <c r="A50" s="3" t="inlineStr">
        <is>
          <t>MFP7E40-N050</t>
        </is>
      </c>
      <c r="B50" s="3" t="inlineStr">
        <is>
          <t>MPO-12/APC to 2xMPO-12/APC cable, 1310nm SMF OS2, 100m max, 50 M</t>
        </is>
      </c>
      <c r="C50" s="3" t="n"/>
      <c r="D50" s="3" t="n"/>
      <c r="E50" s="3" t="inlineStr">
        <is>
          <t>Cables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1216</v>
      </c>
      <c r="N50" s="4" t="n">
        <v>1120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inlineStr"/>
      <c r="U50" s="3" t="inlineStr"/>
      <c r="V50" s="3" t="inlineStr"/>
      <c r="W50" s="3" t="inlineStr"/>
      <c r="X50" s="4">
        <f>SUM(F50:W50)</f>
        <v/>
      </c>
    </row>
    <row r="51">
      <c r="A51" s="3" t="inlineStr">
        <is>
          <t>MMA4Z00-NS</t>
        </is>
      </c>
      <c r="B51" s="3" t="inlineStr">
        <is>
          <t>NVDA XCVR, 800Gbps,2xNDR, OSFP, 2xMPO12 APC, 850nm MMF, up to 50m, finned[MMA4Z00-NS]</t>
        </is>
      </c>
      <c r="C51" s="3" t="inlineStr">
        <is>
          <t>980-9I510-00NS00</t>
        </is>
      </c>
      <c r="D51" s="3" t="inlineStr">
        <is>
          <t>70HK1</t>
        </is>
      </c>
      <c r="E51" s="3" t="inlineStr">
        <is>
          <t>Transceiver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12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inlineStr"/>
      <c r="U51" s="3" t="inlineStr"/>
      <c r="V51" s="3" t="inlineStr"/>
      <c r="W51" s="3" t="inlineStr"/>
      <c r="X51" s="4">
        <f>SUM(F51:W51)</f>
        <v/>
      </c>
    </row>
    <row r="52">
      <c r="A52" s="3" t="inlineStr">
        <is>
          <t>MMA4Z00-NS-FLT</t>
        </is>
      </c>
      <c r="B52" s="3" t="inlineStr">
        <is>
          <t>NVDA twin port XCVR,800GbE,2x400,IPonly,O112, 2xMPO12 APC,850nm MMF,to 50m,flat top RHS[MMA4Z00-NS-FLT ]</t>
        </is>
      </c>
      <c r="C52" s="3" t="inlineStr">
        <is>
          <t>980-9I51A-00NS00</t>
        </is>
      </c>
      <c r="D52" s="3" t="inlineStr">
        <is>
          <t>N72T0</t>
        </is>
      </c>
      <c r="E52" s="3" t="inlineStr">
        <is>
          <t>Transceiver</t>
        </is>
      </c>
      <c r="F52" s="3" t="n">
        <v>0</v>
      </c>
      <c r="G52" s="3" t="n">
        <v>0</v>
      </c>
      <c r="H52" s="3" t="n">
        <v>0</v>
      </c>
      <c r="I52" s="4" t="n">
        <v>496</v>
      </c>
      <c r="J52" s="3" t="n">
        <v>0</v>
      </c>
      <c r="K52" s="4" t="n">
        <v>744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inlineStr"/>
      <c r="U52" s="3" t="inlineStr"/>
      <c r="V52" s="3" t="inlineStr"/>
      <c r="W52" s="3" t="inlineStr"/>
      <c r="X52" s="4">
        <f>SUM(F52:W52)</f>
        <v/>
      </c>
    </row>
    <row r="53">
      <c r="A53" s="3" t="inlineStr">
        <is>
          <t>MMA4Z00‑NS</t>
        </is>
      </c>
      <c r="B53" s="3" t="inlineStr">
        <is>
          <t>NVDA XCVR, 800Gbps,2xNDR, OSFP, 2xMPO12 APC, 850nm MMF, up to 50m, finned[MMA4Z00-NS]</t>
        </is>
      </c>
      <c r="C53" s="3" t="inlineStr">
        <is>
          <t>980-9I510-00NS00</t>
        </is>
      </c>
      <c r="D53" s="3" t="inlineStr">
        <is>
          <t>70HK1</t>
        </is>
      </c>
      <c r="E53" s="3" t="inlineStr">
        <is>
          <t>Transceiver</t>
        </is>
      </c>
      <c r="F53" s="3" t="n">
        <v>0</v>
      </c>
      <c r="G53" s="3" t="n">
        <v>0</v>
      </c>
      <c r="H53" s="3" t="n">
        <v>0</v>
      </c>
      <c r="I53" s="4" t="n">
        <v>496</v>
      </c>
      <c r="J53" s="3" t="n">
        <v>0</v>
      </c>
      <c r="K53" s="4" t="n">
        <v>744</v>
      </c>
      <c r="L53" s="3" t="n">
        <v>0</v>
      </c>
      <c r="M53" s="3" t="n">
        <v>0</v>
      </c>
      <c r="N53" s="4" t="n">
        <v>94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inlineStr"/>
      <c r="U53" s="3" t="inlineStr"/>
      <c r="V53" s="3" t="inlineStr"/>
      <c r="W53" s="3" t="inlineStr"/>
      <c r="X53" s="4">
        <f>SUM(F53:W53)</f>
        <v/>
      </c>
    </row>
    <row r="54">
      <c r="A54" s="3" t="inlineStr">
        <is>
          <t>MMA4Z00‑NS-T</t>
        </is>
      </c>
      <c r="B54" s="3" t="inlineStr">
        <is>
          <t>NVDA twin port XCVR, 800GbE, 2x400, IPonly,O112, 2xMPO12 APC,850nm MMF,to 50m, finned[MMA4Z00-NS-T]</t>
        </is>
      </c>
      <c r="C54" s="3" t="inlineStr">
        <is>
          <t>980-9I510-F4NS00</t>
        </is>
      </c>
      <c r="D54" s="3" t="inlineStr">
        <is>
          <t>YWX59</t>
        </is>
      </c>
      <c r="E54" s="3" t="inlineStr">
        <is>
          <t>Transceiver</t>
        </is>
      </c>
      <c r="F54" s="4" t="n">
        <v>88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inlineStr"/>
      <c r="U54" s="3" t="inlineStr"/>
      <c r="V54" s="3" t="inlineStr"/>
      <c r="W54" s="3" t="inlineStr"/>
      <c r="X54" s="4">
        <f>SUM(F54:W54)</f>
        <v/>
      </c>
    </row>
    <row r="55">
      <c r="A55" s="3" t="inlineStr">
        <is>
          <t>MMC12/APC SMF</t>
        </is>
      </c>
      <c r="B55" s="3" t="inlineStr"/>
      <c r="C55" s="3" t="inlineStr">
        <is>
          <t>MMC12/APC SMF</t>
        </is>
      </c>
      <c r="D55" s="3" t="inlineStr"/>
      <c r="E55" s="3" t="inlineStr">
        <is>
          <t>Cables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4" t="n">
        <v>16384</v>
      </c>
      <c r="U55" s="4" t="n">
        <v>16384</v>
      </c>
      <c r="V55" s="4" t="n">
        <v>34272</v>
      </c>
      <c r="W55" s="4" t="n">
        <v>18144</v>
      </c>
      <c r="X55" s="4">
        <f>SUM(F55:W55)</f>
        <v/>
      </c>
    </row>
    <row r="56">
      <c r="A56" s="3" t="inlineStr">
        <is>
          <t>MMS1V70-CM</t>
        </is>
      </c>
      <c r="B56" s="3" t="inlineStr">
        <is>
          <t>NVDA XCVR, 100GbE, QSFP28, LC, 1310nm, Single Mode 1-lane (DR1), IP[MMS1V70-CM]</t>
        </is>
      </c>
      <c r="C56" s="3" t="inlineStr">
        <is>
          <t>980-9I042-00C000</t>
        </is>
      </c>
      <c r="D56" s="3" t="inlineStr">
        <is>
          <t>8XTGF</t>
        </is>
      </c>
      <c r="E56" s="3" t="inlineStr">
        <is>
          <t>Transceiver</t>
        </is>
      </c>
      <c r="F56" s="3" t="n">
        <v>0</v>
      </c>
      <c r="G56" s="3" t="n">
        <v>0</v>
      </c>
      <c r="H56" s="4" t="n">
        <v>24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inlineStr"/>
      <c r="U56" s="3" t="inlineStr"/>
      <c r="V56" s="3" t="inlineStr"/>
      <c r="W56" s="3" t="inlineStr"/>
      <c r="X56" s="4">
        <f>SUM(F56:W56)</f>
        <v/>
      </c>
    </row>
    <row r="57">
      <c r="A57" s="3" t="inlineStr">
        <is>
          <t>MMS1X00-NS400</t>
        </is>
      </c>
      <c r="B57" s="3" t="inlineStr">
        <is>
          <t>NVDA XCVR400GbE, QSFP112, MPO12 APC, R4, SMF, p to 500m, Flattop (MMS1X00-NS400)</t>
        </is>
      </c>
      <c r="C57" s="3" t="inlineStr">
        <is>
          <t>980-9I068-00NM00</t>
        </is>
      </c>
      <c r="D57" s="3" t="inlineStr">
        <is>
          <t>6YVDP</t>
        </is>
      </c>
      <c r="E57" s="3" t="inlineStr">
        <is>
          <t>Transceiver</t>
        </is>
      </c>
      <c r="F57" s="4" t="n">
        <v>64</v>
      </c>
      <c r="G57" s="3" t="n">
        <v>0</v>
      </c>
      <c r="H57" s="3" t="n">
        <v>0</v>
      </c>
      <c r="I57" s="4" t="n">
        <v>64</v>
      </c>
      <c r="J57" s="4" t="n">
        <v>8712</v>
      </c>
      <c r="K57" s="4" t="n">
        <v>64</v>
      </c>
      <c r="L57" s="4" t="n">
        <v>7260</v>
      </c>
      <c r="M57" s="4" t="n">
        <v>640</v>
      </c>
      <c r="N57" s="4" t="n">
        <v>192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inlineStr"/>
      <c r="U57" s="3" t="inlineStr"/>
      <c r="V57" s="3" t="inlineStr"/>
      <c r="W57" s="3" t="inlineStr"/>
      <c r="X57" s="4">
        <f>SUM(F57:W57)</f>
        <v/>
      </c>
    </row>
    <row r="58">
      <c r="A58" s="3" t="inlineStr">
        <is>
          <t>MMS1X00-NS400 - 6YVDP</t>
        </is>
      </c>
      <c r="B58" s="3" t="inlineStr">
        <is>
          <t>NVDA XCVR400GbE, QSFP112, MPO12 APC, R4, SMF, p to 500m, Flattop (MMS1X00-NS400)</t>
        </is>
      </c>
      <c r="C58" s="3" t="inlineStr">
        <is>
          <t>980-9I068-00NM00</t>
        </is>
      </c>
      <c r="D58" s="3" t="inlineStr">
        <is>
          <t>6YVDP</t>
        </is>
      </c>
      <c r="E58" s="3" t="inlineStr">
        <is>
          <t>Transceiver</t>
        </is>
      </c>
      <c r="F58" s="4" t="n">
        <v>192</v>
      </c>
      <c r="G58" s="4" t="n">
        <v>192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inlineStr"/>
      <c r="U58" s="3" t="inlineStr"/>
      <c r="V58" s="3" t="inlineStr"/>
      <c r="W58" s="3" t="inlineStr"/>
      <c r="X58" s="4">
        <f>SUM(F58:W58)</f>
        <v/>
      </c>
    </row>
    <row r="59">
      <c r="A59" s="3" t="inlineStr">
        <is>
          <t>MMS4X00-NM-T</t>
        </is>
      </c>
      <c r="B59" s="3" t="inlineStr">
        <is>
          <t>NVDA twin port XCVR, 800GbE,2x400,IPonly,O112,2xMPO12 APC,1310N SMF,to 500m,finned HIS[MMS4X00-NM-T]</t>
        </is>
      </c>
      <c r="C59" s="3" t="inlineStr">
        <is>
          <t>980-9I30G-F4NM00</t>
        </is>
      </c>
      <c r="D59" s="3" t="inlineStr">
        <is>
          <t>YW1C0</t>
        </is>
      </c>
      <c r="E59" s="3" t="inlineStr">
        <is>
          <t>Transceiver</t>
        </is>
      </c>
      <c r="F59" s="4" t="n">
        <v>1240</v>
      </c>
      <c r="G59" s="4" t="n">
        <v>360</v>
      </c>
      <c r="H59" s="3" t="n">
        <v>0</v>
      </c>
      <c r="I59" s="4" t="n">
        <v>1024</v>
      </c>
      <c r="J59" s="4" t="n">
        <v>2524</v>
      </c>
      <c r="K59" s="4" t="n">
        <v>2320</v>
      </c>
      <c r="L59" s="4" t="n">
        <v>2046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inlineStr"/>
      <c r="U59" s="3" t="inlineStr"/>
      <c r="V59" s="3" t="inlineStr"/>
      <c r="W59" s="3" t="inlineStr"/>
      <c r="X59" s="4">
        <f>SUM(F59:W59)</f>
        <v/>
      </c>
    </row>
    <row r="60">
      <c r="A60" s="3" t="inlineStr">
        <is>
          <t>MPO OSFP112-800G-2x400G-2DR4 Twin</t>
        </is>
      </c>
      <c r="B60" s="3" t="inlineStr"/>
      <c r="C60" s="3" t="inlineStr">
        <is>
          <t>MPO OSFP112-800G-2x400G-2DR4 Twin</t>
        </is>
      </c>
      <c r="D60" s="3" t="inlineStr"/>
      <c r="E60" s="3" t="inlineStr">
        <is>
          <t>Transceiver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4" t="n">
        <v>3148</v>
      </c>
      <c r="U60" s="4" t="n">
        <v>3148</v>
      </c>
      <c r="V60" s="4" t="n">
        <v>11464</v>
      </c>
      <c r="W60" s="4" t="n">
        <v>6460</v>
      </c>
      <c r="X60" s="4">
        <f>SUM(F60:W60)</f>
        <v/>
      </c>
    </row>
    <row r="61">
      <c r="A61" s="3" t="inlineStr">
        <is>
          <t>MPO OSFP224-1600G-2x800G-2DR4 Twin RHS</t>
        </is>
      </c>
      <c r="B61" s="3" t="inlineStr"/>
      <c r="C61" s="3" t="inlineStr">
        <is>
          <t>MPO OSFP224-1600G-2x800G-2DR4 Twin RHS</t>
        </is>
      </c>
      <c r="D61" s="3" t="inlineStr"/>
      <c r="E61" s="3" t="inlineStr">
        <is>
          <t>Transceiver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4" t="n">
        <v>8064</v>
      </c>
      <c r="U61" s="4" t="n">
        <v>8064</v>
      </c>
      <c r="V61" s="4" t="n">
        <v>17136</v>
      </c>
      <c r="W61" s="4" t="n">
        <v>9072</v>
      </c>
      <c r="X61" s="4">
        <f>SUM(F61:W61)</f>
        <v/>
      </c>
    </row>
    <row r="62">
      <c r="A62" s="3" t="inlineStr">
        <is>
          <t>MPO QSFP112-400G-DR4</t>
        </is>
      </c>
      <c r="B62" s="3" t="inlineStr"/>
      <c r="C62" s="3" t="inlineStr">
        <is>
          <t>MPO QSFP112-400G-DR4</t>
        </is>
      </c>
      <c r="D62" s="3" t="inlineStr"/>
      <c r="E62" s="3" t="inlineStr">
        <is>
          <t>Cables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4" t="n">
        <v>4092</v>
      </c>
      <c r="U62" s="4" t="n">
        <v>4092</v>
      </c>
      <c r="V62" s="4" t="n">
        <v>8628</v>
      </c>
      <c r="W62" s="4" t="n">
        <v>4760</v>
      </c>
      <c r="X62" s="4">
        <f>SUM(F62:W62)</f>
        <v/>
      </c>
    </row>
    <row r="63">
      <c r="A63" s="3" t="inlineStr">
        <is>
          <t>MPO QSFP56DD-400G-DR4</t>
        </is>
      </c>
      <c r="B63" s="3" t="inlineStr"/>
      <c r="C63" s="3" t="inlineStr">
        <is>
          <t>MPO QSFP56DD-400G-DR4</t>
        </is>
      </c>
      <c r="D63" s="3" t="inlineStr"/>
      <c r="E63" s="3" t="inlineStr">
        <is>
          <t>Cables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4" t="n">
        <v>200</v>
      </c>
      <c r="U63" s="4" t="n">
        <v>200</v>
      </c>
      <c r="V63" s="4" t="n">
        <v>398</v>
      </c>
      <c r="W63" s="4" t="n">
        <v>230</v>
      </c>
      <c r="X63" s="4">
        <f>SUM(F63:W63)</f>
        <v/>
      </c>
    </row>
    <row r="64">
      <c r="A64" s="3" t="inlineStr">
        <is>
          <t>MPO12/APC SMF</t>
        </is>
      </c>
      <c r="B64" s="3" t="inlineStr"/>
      <c r="C64" s="3" t="inlineStr">
        <is>
          <t>MPO12/APC SMF</t>
        </is>
      </c>
      <c r="D64" s="3" t="inlineStr"/>
      <c r="E64" s="3" t="inlineStr">
        <is>
          <t>Cables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4" t="n">
        <v>5164</v>
      </c>
      <c r="U64" s="4" t="n">
        <v>5164</v>
      </c>
      <c r="V64" s="4" t="n">
        <v>15748</v>
      </c>
      <c r="W64" s="4" t="n">
        <v>8468</v>
      </c>
      <c r="X64" s="4">
        <f>SUM(F64:W64)</f>
        <v/>
      </c>
    </row>
    <row r="65">
      <c r="A65" s="3" t="inlineStr">
        <is>
          <t>MPO12/APC SMF Jumper</t>
        </is>
      </c>
      <c r="B65" s="3" t="inlineStr"/>
      <c r="C65" s="3" t="inlineStr">
        <is>
          <t>MPO12/APC SMF Jumper</t>
        </is>
      </c>
      <c r="D65" s="3" t="inlineStr"/>
      <c r="E65" s="3" t="inlineStr">
        <is>
          <t>Cables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4" t="n">
        <v>16128</v>
      </c>
      <c r="U65" s="3" t="inlineStr"/>
      <c r="V65" s="3" t="inlineStr"/>
      <c r="W65" s="3" t="inlineStr"/>
      <c r="X65" s="4">
        <f>SUM(F65:W65)</f>
        <v/>
      </c>
    </row>
    <row r="66">
      <c r="A66" s="3" t="inlineStr">
        <is>
          <t>MPO12/APC-2MPO12/APC SMF</t>
        </is>
      </c>
      <c r="B66" s="3" t="inlineStr"/>
      <c r="C66" s="3" t="inlineStr">
        <is>
          <t>MPO12/APC-2MPO12/APC SMF</t>
        </is>
      </c>
      <c r="D66" s="3" t="inlineStr"/>
      <c r="E66" s="3" t="inlineStr">
        <is>
          <t>Cables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4" t="n">
        <v>30</v>
      </c>
      <c r="U66" s="4" t="n">
        <v>30</v>
      </c>
      <c r="V66" s="4" t="n">
        <v>30</v>
      </c>
      <c r="W66" s="4" t="n">
        <v>112</v>
      </c>
      <c r="X66" s="4">
        <f>SUM(F66:W66)</f>
        <v/>
      </c>
    </row>
    <row r="67">
      <c r="A67" s="3" t="inlineStr">
        <is>
          <t>MPO12/APC-4LC SMF</t>
        </is>
      </c>
      <c r="B67" s="3" t="inlineStr"/>
      <c r="C67" s="3" t="inlineStr">
        <is>
          <t>MPO12/APC-4LC SMF</t>
        </is>
      </c>
      <c r="D67" s="3" t="inlineStr"/>
      <c r="E67" s="3" t="inlineStr">
        <is>
          <t>Cables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4" t="n">
        <v>184</v>
      </c>
      <c r="U67" s="4" t="n">
        <v>184</v>
      </c>
      <c r="V67" s="4" t="n">
        <v>382</v>
      </c>
      <c r="W67" s="4" t="n">
        <v>214</v>
      </c>
      <c r="X67" s="4">
        <f>SUM(F67:W67)</f>
        <v/>
      </c>
    </row>
    <row r="68">
      <c r="A68" s="3" t="inlineStr">
        <is>
          <t>MPO12/APC-MMC12/APC SMF</t>
        </is>
      </c>
      <c r="B68" s="3" t="inlineStr"/>
      <c r="C68" s="3" t="inlineStr">
        <is>
          <t>MPO12/APC-MMC12/APC SMF</t>
        </is>
      </c>
      <c r="D68" s="3" t="inlineStr"/>
      <c r="E68" s="3" t="inlineStr">
        <is>
          <t>Cables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4" t="n">
        <v>16128</v>
      </c>
      <c r="U68" s="4" t="n">
        <v>16128</v>
      </c>
      <c r="V68" s="4" t="n">
        <v>34272</v>
      </c>
      <c r="W68" s="4" t="n">
        <v>18144</v>
      </c>
      <c r="X68" s="4">
        <f>SUM(F68:W68)</f>
        <v/>
      </c>
    </row>
    <row r="69">
      <c r="A69" s="3" t="inlineStr">
        <is>
          <t>NFM93</t>
        </is>
      </c>
      <c r="B69" s="3" t="inlineStr">
        <is>
          <t>MOD,CBL,MPO12-2MPO4,SMF,30M</t>
        </is>
      </c>
      <c r="C69" s="3" t="n"/>
      <c r="D69" s="3" t="n"/>
      <c r="E69" s="3" t="inlineStr">
        <is>
          <t>Cables</t>
        </is>
      </c>
      <c r="F69" s="4" t="n">
        <v>96</v>
      </c>
      <c r="G69" s="4" t="n">
        <v>192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inlineStr"/>
      <c r="U69" s="3" t="inlineStr"/>
      <c r="V69" s="3" t="inlineStr"/>
      <c r="W69" s="3" t="inlineStr"/>
      <c r="X69" s="4">
        <f>SUM(F69:W69)</f>
        <v/>
      </c>
    </row>
    <row r="70">
      <c r="A70" s="3" t="inlineStr">
        <is>
          <t>PDU</t>
        </is>
      </c>
      <c r="B70" s="3" t="inlineStr"/>
      <c r="C70" s="3" t="inlineStr">
        <is>
          <t>PDU</t>
        </is>
      </c>
      <c r="D70" s="3" t="inlineStr"/>
      <c r="E70" s="3" t="inlineStr">
        <is>
          <t>Other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4" t="n">
        <v>56</v>
      </c>
      <c r="U70" s="4" t="n">
        <v>56</v>
      </c>
      <c r="V70" s="4" t="n">
        <v>100</v>
      </c>
      <c r="W70" s="4" t="n">
        <v>64</v>
      </c>
      <c r="X70" s="4">
        <f>SUM(F70:W70)</f>
        <v/>
      </c>
    </row>
    <row r="71">
      <c r="A71" s="3" t="inlineStr">
        <is>
          <t>PDU 3Ph, 415V, 60A</t>
        </is>
      </c>
      <c r="B71" s="3" t="inlineStr">
        <is>
          <t>3PH, 415V, 60A, 560P6, 42 Outlet</t>
        </is>
      </c>
      <c r="C71" s="3" t="n"/>
      <c r="D71" s="3" t="n"/>
      <c r="E71" s="3" t="inlineStr">
        <is>
          <t>Rack</t>
        </is>
      </c>
      <c r="F71" s="3" t="n">
        <v>0</v>
      </c>
      <c r="G71" s="3" t="n">
        <v>0</v>
      </c>
      <c r="H71" s="4" t="n">
        <v>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inlineStr"/>
      <c r="U71" s="3" t="inlineStr"/>
      <c r="V71" s="3" t="inlineStr"/>
      <c r="W71" s="3" t="inlineStr"/>
      <c r="X71" s="4">
        <f>SUM(F71:W71)</f>
        <v/>
      </c>
    </row>
    <row r="72">
      <c r="A72" s="3" t="inlineStr">
        <is>
          <t>PDU per Aircool AC Rack</t>
        </is>
      </c>
      <c r="B72" s="3" t="inlineStr"/>
      <c r="C72" s="3" t="inlineStr">
        <is>
          <t>PDU per Aircool AC Rack</t>
        </is>
      </c>
      <c r="D72" s="3" t="inlineStr"/>
      <c r="E72" s="3" t="inlineStr">
        <is>
          <t>Other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4" t="n">
        <v>2</v>
      </c>
      <c r="U72" s="4" t="n">
        <v>2</v>
      </c>
      <c r="V72" s="4" t="n">
        <v>2</v>
      </c>
      <c r="W72" s="4" t="n">
        <v>2</v>
      </c>
      <c r="X72" s="4">
        <f>SUM(F72:W72)</f>
        <v/>
      </c>
    </row>
    <row r="73">
      <c r="A73" s="3" t="inlineStr">
        <is>
          <t>PS</t>
        </is>
      </c>
      <c r="B73" s="3" t="inlineStr"/>
      <c r="C73" s="3" t="inlineStr">
        <is>
          <t>PS</t>
        </is>
      </c>
      <c r="D73" s="3" t="inlineStr"/>
      <c r="E73" s="3" t="inlineStr">
        <is>
          <t>Other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4" t="n">
        <v>192</v>
      </c>
      <c r="U73" s="4" t="n">
        <v>96</v>
      </c>
      <c r="V73" s="4" t="n">
        <v>208</v>
      </c>
      <c r="W73" s="4" t="n">
        <v>144</v>
      </c>
      <c r="X73" s="4">
        <f>SUM(F73:W73)</f>
        <v/>
      </c>
    </row>
    <row r="74">
      <c r="A74" s="3" t="inlineStr">
        <is>
          <t>PS per DLC DC Rack</t>
        </is>
      </c>
      <c r="B74" s="3" t="inlineStr"/>
      <c r="C74" s="3" t="inlineStr">
        <is>
          <t>PS per DLC DC Rack</t>
        </is>
      </c>
      <c r="D74" s="3" t="inlineStr"/>
      <c r="E74" s="3" t="inlineStr">
        <is>
          <t>Other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4" t="n">
        <v>4</v>
      </c>
      <c r="U74" s="4" t="n">
        <v>4</v>
      </c>
      <c r="V74" s="4" t="n">
        <v>4</v>
      </c>
      <c r="W74" s="4" t="n">
        <v>4</v>
      </c>
      <c r="X74" s="4">
        <f>SUM(F74:W74)</f>
        <v/>
      </c>
    </row>
    <row r="75">
      <c r="A75" s="3" t="inlineStr">
        <is>
          <t>SN2201 , 1U , C2P</t>
        </is>
      </c>
      <c r="B75" s="3" t="inlineStr">
        <is>
          <t>48 × RJ45 10/100/1000BASE‑T ports PLUS 4 × QSFP28 ports (can be used as 4×100 GbE, or broken out to lower speeds like 4×25 GbE, etc.)</t>
        </is>
      </c>
      <c r="C75" s="3" t="n"/>
      <c r="D75" s="3" t="n"/>
      <c r="E75" s="3" t="inlineStr">
        <is>
          <t>Cables</t>
        </is>
      </c>
      <c r="F75" s="4" t="n">
        <v>20</v>
      </c>
      <c r="G75" s="4" t="n">
        <v>195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inlineStr"/>
      <c r="U75" s="3" t="inlineStr"/>
      <c r="V75" s="3" t="inlineStr"/>
      <c r="W75" s="3" t="inlineStr"/>
      <c r="X75" s="4">
        <f>SUM(F75:W75)</f>
        <v/>
      </c>
    </row>
    <row r="76">
      <c r="A76" s="3" t="inlineStr">
        <is>
          <t>SN2201 AC</t>
        </is>
      </c>
      <c r="B76" s="3" t="inlineStr"/>
      <c r="C76" s="3" t="inlineStr">
        <is>
          <t>SN2201 AC</t>
        </is>
      </c>
      <c r="D76" s="3" t="inlineStr"/>
      <c r="E76" s="3" t="inlineStr">
        <is>
          <t>Other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4" t="n">
        <v>90</v>
      </c>
      <c r="U76" s="4" t="n">
        <v>90</v>
      </c>
      <c r="V76" s="4" t="n">
        <v>187</v>
      </c>
      <c r="W76" s="4" t="n">
        <v>115</v>
      </c>
      <c r="X76" s="4">
        <f>SUM(F76:W76)</f>
        <v/>
      </c>
    </row>
    <row r="77">
      <c r="A77" s="3" t="inlineStr">
        <is>
          <t>SN4700</t>
        </is>
      </c>
      <c r="B77" s="3" t="inlineStr"/>
      <c r="C77" s="3" t="inlineStr">
        <is>
          <t>SN4700</t>
        </is>
      </c>
      <c r="D77" s="3" t="inlineStr"/>
      <c r="E77" s="3" t="inlineStr">
        <is>
          <t>Other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4" t="n">
        <v>24</v>
      </c>
      <c r="U77" s="4" t="n">
        <v>24</v>
      </c>
      <c r="V77" s="4" t="n">
        <v>42</v>
      </c>
      <c r="W77" s="4" t="n">
        <v>26</v>
      </c>
      <c r="X77" s="4">
        <f>SUM(F77:W77)</f>
        <v/>
      </c>
    </row>
    <row r="78">
      <c r="A78" s="3" t="inlineStr">
        <is>
          <t>SN5610</t>
        </is>
      </c>
      <c r="B78" s="3" t="inlineStr"/>
      <c r="C78" s="3" t="inlineStr">
        <is>
          <t>SN5610</t>
        </is>
      </c>
      <c r="D78" s="3" t="inlineStr"/>
      <c r="E78" s="3" t="inlineStr">
        <is>
          <t>Other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4" t="n">
        <v>86</v>
      </c>
      <c r="U78" s="4" t="n">
        <v>86</v>
      </c>
      <c r="V78" s="4" t="n">
        <v>230</v>
      </c>
      <c r="W78" s="4" t="n">
        <v>134</v>
      </c>
      <c r="X78" s="4">
        <f>SUM(F78:W78)</f>
        <v/>
      </c>
    </row>
    <row r="79">
      <c r="A79" s="3" t="inlineStr">
        <is>
          <t>SN6800-LD</t>
        </is>
      </c>
      <c r="B79" s="3" t="inlineStr"/>
      <c r="C79" s="3" t="inlineStr">
        <is>
          <t>SN6800-LD</t>
        </is>
      </c>
      <c r="D79" s="3" t="inlineStr"/>
      <c r="E79" s="3" t="inlineStr">
        <is>
          <t>Switch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4" t="n">
        <v>96</v>
      </c>
      <c r="V79" s="4" t="n">
        <v>208</v>
      </c>
      <c r="W79" s="4" t="n">
        <v>144</v>
      </c>
      <c r="X79" s="4">
        <f>SUM(F79:W79)</f>
        <v/>
      </c>
    </row>
    <row r="80">
      <c r="A80" s="3" t="inlineStr">
        <is>
          <t>SN6810-LD</t>
        </is>
      </c>
      <c r="B80" s="3" t="inlineStr"/>
      <c r="C80" s="3" t="inlineStr">
        <is>
          <t>SN6810-LD</t>
        </is>
      </c>
      <c r="D80" s="3" t="inlineStr"/>
      <c r="E80" s="3" t="inlineStr">
        <is>
          <t>Switch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4" t="n">
        <v>384</v>
      </c>
      <c r="U80" s="3" t="inlineStr"/>
      <c r="V80" s="3" t="inlineStr"/>
      <c r="W80" s="3" t="inlineStr"/>
      <c r="X80" s="4">
        <f>SUM(F80:W80)</f>
        <v/>
      </c>
    </row>
    <row r="81">
      <c r="A81" s="3" t="inlineStr">
        <is>
          <t>Shuffle 4x4 units</t>
        </is>
      </c>
      <c r="B81" s="3" t="inlineStr">
        <is>
          <t>CommScope</t>
        </is>
      </c>
      <c r="C81" s="3" t="n"/>
      <c r="D81" s="3" t="n"/>
      <c r="E81" s="3" t="inlineStr">
        <is>
          <t>Rack</t>
        </is>
      </c>
      <c r="F81" s="3" t="n">
        <v>0</v>
      </c>
      <c r="G81" s="3" t="n">
        <v>0</v>
      </c>
      <c r="H81" s="4" t="n">
        <v>144</v>
      </c>
      <c r="I81" s="3" t="n">
        <v>0</v>
      </c>
      <c r="J81" s="4" t="n">
        <v>18288</v>
      </c>
      <c r="K81" s="3" t="n">
        <v>0</v>
      </c>
      <c r="L81" s="4" t="n">
        <v>7560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inlineStr"/>
      <c r="U81" s="3" t="inlineStr"/>
      <c r="V81" s="3" t="inlineStr"/>
      <c r="W81" s="3" t="inlineStr"/>
      <c r="X81" s="4">
        <f>SUM(F81:W81)</f>
        <v/>
      </c>
    </row>
    <row r="82">
      <c r="A82" s="3" t="inlineStr">
        <is>
          <t>T1-NtwkRack</t>
        </is>
      </c>
      <c r="B82" s="3" t="inlineStr"/>
      <c r="C82" s="3" t="inlineStr">
        <is>
          <t>T1-NtwkRack</t>
        </is>
      </c>
      <c r="D82" s="3" t="inlineStr"/>
      <c r="E82" s="3" t="inlineStr">
        <is>
          <t>Other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4" t="n">
        <v>32</v>
      </c>
      <c r="U82" s="3" t="inlineStr"/>
      <c r="V82" s="3" t="inlineStr"/>
      <c r="W82" s="3" t="inlineStr"/>
      <c r="X82" s="4">
        <f>SUM(F82:W82)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2026-10-05T14:18:29Z</dcterms:created>
  <dcterms:modified xmlns:dcterms="http://purl.org/dc/terms/" xmlns:xsi="http://www.w3.org/2001/XMLSchema-instance" xsi:type="dcterms:W3CDTF">2026-10-05T17:06:29Z</dcterms:modified>
</cp:coreProperties>
</file>