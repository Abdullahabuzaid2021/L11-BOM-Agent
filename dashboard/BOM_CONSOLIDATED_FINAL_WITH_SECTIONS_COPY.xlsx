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Summary per sections" sheetId="1" state="visible" r:id="rId1"/>
    <sheet name="Summary Total" sheetId="2" state="visible" r:id="rId2"/>
    <sheet name="Summary total compariso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6"/>
  <sheetViews>
    <sheetView topLeftCell="P1" workbookViewId="0">
      <selection activeCell="A1" sqref="A1"/>
    </sheetView>
  </sheetViews>
  <sheetFormatPr baseColWidth="8" defaultRowHeight="14.4"/>
  <cols>
    <col width="20" customWidth="1" min="1" max="25"/>
  </cols>
  <sheetData>
    <row r="1">
      <c r="A1" t="inlineStr">
        <is>
          <t>Model/PN</t>
        </is>
      </c>
      <c r="B1" t="inlineStr">
        <is>
          <t>Description</t>
        </is>
      </c>
      <c r="C1" t="inlineStr">
        <is>
          <t>NVIDIA Generic Part number</t>
        </is>
      </c>
      <c r="D1" t="inlineStr">
        <is>
          <t>Dell PN</t>
        </is>
      </c>
      <c r="E1" t="inlineStr">
        <is>
          <t>Category</t>
        </is>
      </c>
      <c r="F1" t="inlineStr">
        <is>
          <t>Section</t>
        </is>
      </c>
      <c r="G1" t="inlineStr">
        <is>
          <t>BOM - NETWORK - 2026-08-24- IREN -  512 Racks -(B300) - Mackenzie - 512 GPU Storage Testing [Locked]_UNLOCKED.xlsx</t>
        </is>
      </c>
      <c r="H1" t="inlineStr">
        <is>
          <t>BOM - NETWORK - 2026-09-023 - IREN -  256 Racks - 8192-GPU (B300)_GOLDEN.xlsx</t>
        </is>
      </c>
      <c r="I1" t="inlineStr">
        <is>
          <t>BOM - NETWORK - 2026-09-04- IREN - PS - VR72 4x Test Racks [Quote]_UNLOCKED.xlsx</t>
        </is>
      </c>
      <c r="J1" t="inlineStr">
        <is>
          <t>BOM - NETWORK - 2026-09-11- IREN - 50MW 252 Racks - Sweetwater VR NVL72_SN6600-LD_CORE [Quoted]_UNLOCKED.xlsx</t>
        </is>
      </c>
      <c r="K1" t="inlineStr">
        <is>
          <t>BOM - NETWORK - 2026-09-11- IREN - 50MW 252 Racks - Sweetwater VR NVL72_SN6600-LD_DH [Quoted]_UNLOCKED.xlsx</t>
        </is>
      </c>
      <c r="L1" t="inlineStr">
        <is>
          <t>BOM - NETWORK - 2026-09-15- IREN CHLD_HORIZON_210 Racks - VR NVL72_SN6600-LD_Core-GOLDEN [Quoting]_UNLOCKED.xlsx</t>
        </is>
      </c>
      <c r="M1" t="inlineStr">
        <is>
          <t>BOM - NETWORK - 2026-09-15- IREN CHLD_HORIZON_210 Racks - VR NVL72_SN6600-LD_DH_GOLDEN [Quoting]_UNLOCKED.xlsx</t>
        </is>
      </c>
      <c r="N1" t="inlineStr">
        <is>
          <t>BOM - NETWORK - 2026-09-23 - IREN -  256 Racks - 8192-GPU (B200).xlsx</t>
        </is>
      </c>
      <c r="O1" t="inlineStr">
        <is>
          <t>BOM - NETWORK - 2026-09-23 - IREN -  B4-5 256 Racks - 8192-GPU (B200).xlsx</t>
        </is>
      </c>
      <c r="P1" t="inlineStr">
        <is>
          <t>PNL-NETWORK BOM-2026-09-23-Anthropic-Australia_Q1_Q2-21k GPUs VR NVL72.xlsx</t>
        </is>
      </c>
      <c r="Q1" t="inlineStr">
        <is>
          <t>PNL-NETWORK BOM-2026-09-23-Anthropic-Canada_Q2-32k GPUs VR NVL72.xlsx</t>
        </is>
      </c>
      <c r="R1" t="inlineStr">
        <is>
          <t>PNL-NETWORK BOM-2026-09-24-Anthropic-US-Q1-Q2-Cluster1-129k GPUs VR NVL72.xlsx</t>
        </is>
      </c>
      <c r="S1" t="inlineStr">
        <is>
          <t>PNL-NETWORK BOM-2026-09-24-Anthropic-US-Q1-Q2-Cluster2-129k GPUs VR NVL72.xlsx</t>
        </is>
      </c>
      <c r="T1" t="inlineStr">
        <is>
          <t>PNL-NETWORK BOM-2026-09-25-Anthropic-US_Q1_Q2-Cluster3-9k GPUs VR NVL72.xlsx</t>
        </is>
      </c>
      <c r="U1" t="inlineStr">
        <is>
          <t>NScale - NETWORK BOM - Narvik-8k-6810.xlsx</t>
        </is>
      </c>
      <c r="V1" t="inlineStr">
        <is>
          <t>NScale - NETWORK BOM - Narvik-8k.xlsx</t>
        </is>
      </c>
      <c r="W1" t="inlineStr">
        <is>
          <t>NScale - NETWORK BOM - Narvik-17k.xlsx</t>
        </is>
      </c>
      <c r="X1" t="inlineStr">
        <is>
          <t>NScale - NETWORK BOM - US-TBD-18k.xlsx</t>
        </is>
      </c>
      <c r="Y1" t="inlineStr">
        <is>
          <t>Total Quantity</t>
        </is>
      </c>
    </row>
    <row r="2">
      <c r="A2" t="inlineStr">
        <is>
          <t>Customer</t>
        </is>
      </c>
      <c r="G2" t="inlineStr">
        <is>
          <t>IREN</t>
        </is>
      </c>
      <c r="H2" t="inlineStr">
        <is>
          <t>IREN</t>
        </is>
      </c>
      <c r="I2" t="inlineStr">
        <is>
          <t>IREN</t>
        </is>
      </c>
      <c r="J2" t="inlineStr">
        <is>
          <t>IREN</t>
        </is>
      </c>
      <c r="K2" t="inlineStr">
        <is>
          <t>IREN</t>
        </is>
      </c>
      <c r="L2" t="inlineStr">
        <is>
          <t>IREN</t>
        </is>
      </c>
      <c r="M2" t="inlineStr">
        <is>
          <t>IREN</t>
        </is>
      </c>
      <c r="N2" t="inlineStr">
        <is>
          <t>IREN</t>
        </is>
      </c>
      <c r="O2" t="inlineStr">
        <is>
          <t>IREN</t>
        </is>
      </c>
      <c r="P2" t="inlineStr">
        <is>
          <t>Anthropic</t>
        </is>
      </c>
      <c r="Q2" t="inlineStr">
        <is>
          <t>Anthropic</t>
        </is>
      </c>
      <c r="R2" t="inlineStr">
        <is>
          <t>Anthropic</t>
        </is>
      </c>
      <c r="S2" t="inlineStr">
        <is>
          <t>Anthropic</t>
        </is>
      </c>
      <c r="T2" t="inlineStr">
        <is>
          <t>Anthropic</t>
        </is>
      </c>
      <c r="U2" t="inlineStr">
        <is>
          <t>NScale</t>
        </is>
      </c>
      <c r="V2" t="inlineStr">
        <is>
          <t>NScale</t>
        </is>
      </c>
      <c r="W2" t="inlineStr">
        <is>
          <t>NScale</t>
        </is>
      </c>
      <c r="X2" t="inlineStr">
        <is>
          <t>NScale</t>
        </is>
      </c>
    </row>
    <row r="3">
      <c r="A3" t="inlineStr">
        <is>
          <t>Location</t>
        </is>
      </c>
      <c r="G3" t="inlineStr">
        <is>
          <t>Childress, Tx</t>
        </is>
      </c>
      <c r="H3" t="inlineStr">
        <is>
          <t>Childress, Tx</t>
        </is>
      </c>
      <c r="I3" t="inlineStr">
        <is>
          <t>Prince George</t>
        </is>
      </c>
      <c r="J3" t="inlineStr">
        <is>
          <t>Sweetwater</t>
        </is>
      </c>
      <c r="K3" t="inlineStr">
        <is>
          <t>Sweetwater</t>
        </is>
      </c>
      <c r="L3" t="inlineStr">
        <is>
          <t>Childress, Tx</t>
        </is>
      </c>
      <c r="M3" t="inlineStr">
        <is>
          <t>Childress, Tx</t>
        </is>
      </c>
      <c r="N3" t="inlineStr">
        <is>
          <t>Childress, Tx</t>
        </is>
      </c>
      <c r="O3" t="inlineStr">
        <is>
          <t>Childress, Tx</t>
        </is>
      </c>
      <c r="P3" t="inlineStr">
        <is>
          <t>Australia</t>
        </is>
      </c>
      <c r="Q3" t="inlineStr">
        <is>
          <t>Canada</t>
        </is>
      </c>
      <c r="R3" t="inlineStr">
        <is>
          <t>US-Cluster1</t>
        </is>
      </c>
      <c r="S3" t="inlineStr">
        <is>
          <t>US-Cluster2</t>
        </is>
      </c>
      <c r="T3" t="inlineStr">
        <is>
          <t>US-Cluster3</t>
        </is>
      </c>
      <c r="U3" t="inlineStr">
        <is>
          <t>Narvik-8k-6810</t>
        </is>
      </c>
      <c r="V3" t="inlineStr">
        <is>
          <t>Narvik-8k</t>
        </is>
      </c>
      <c r="W3" t="inlineStr">
        <is>
          <t>Narvik-17k</t>
        </is>
      </c>
      <c r="X3" t="inlineStr">
        <is>
          <t>US-TBD-18k</t>
        </is>
      </c>
    </row>
    <row r="4">
      <c r="A4" t="inlineStr">
        <is>
          <t># of Bldg</t>
        </is>
      </c>
    </row>
    <row r="5">
      <c r="A5" t="inlineStr">
        <is>
          <t>Focus ID</t>
        </is>
      </c>
    </row>
    <row r="6">
      <c r="A6" t="inlineStr">
        <is>
          <t>SFDC ID</t>
        </is>
      </c>
    </row>
    <row r="7">
      <c r="A7" t="inlineStr">
        <is>
          <t>Target Start Date</t>
        </is>
      </c>
    </row>
    <row r="8">
      <c r="A8" t="inlineStr">
        <is>
          <t>Target End Date</t>
        </is>
      </c>
    </row>
    <row r="9">
      <c r="A9" t="inlineStr">
        <is>
          <t>470-ABGH</t>
        </is>
      </c>
      <c r="B9" t="inlineStr">
        <is>
          <t>CBL-MPO12-4LC-SM-5M</t>
        </is>
      </c>
      <c r="E9" t="inlineStr">
        <is>
          <t>Cables</t>
        </is>
      </c>
      <c r="F9" t="inlineStr">
        <is>
          <t>N-S Networking</t>
        </is>
      </c>
      <c r="G9" t="n">
        <v>92</v>
      </c>
      <c r="H9" t="n">
        <v>0</v>
      </c>
      <c r="I9" t="n">
        <v>0</v>
      </c>
      <c r="J9" t="n">
        <v>16</v>
      </c>
      <c r="K9" t="n">
        <v>360</v>
      </c>
      <c r="L9" t="n">
        <v>32</v>
      </c>
      <c r="M9" t="n">
        <v>128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Y9">
        <f>SUM(F5:W5)</f>
        <v/>
      </c>
    </row>
    <row r="10">
      <c r="A10" t="inlineStr">
        <is>
          <t>920-9N110-00F1-0C0</t>
        </is>
      </c>
      <c r="B10" t="inlineStr">
        <is>
          <t>NVDA SN2201 48x1GBaseT, 1U, 2AC PSU, P2C (P/I) Airflow, w/ Cumulus[MSN2201-CB2FC]</t>
        </is>
      </c>
      <c r="C10" t="inlineStr">
        <is>
          <t>920-9N110-00F1-0C0</t>
        </is>
      </c>
      <c r="D10" t="inlineStr">
        <is>
          <t>FTV62</t>
        </is>
      </c>
      <c r="E10" t="inlineStr">
        <is>
          <t>Switch</t>
        </is>
      </c>
      <c r="F10" t="inlineStr">
        <is>
          <t>OOB Networking</t>
        </is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Y10">
        <f>SUM(F6:W6)</f>
        <v/>
      </c>
    </row>
    <row r="11">
      <c r="A11" t="inlineStr">
        <is>
          <t>920-9N110-00R1- 0C0</t>
        </is>
      </c>
      <c r="B11" t="inlineStr">
        <is>
          <t>NVDA SN2201 48x1GBaseT, 1U, 2AC PSU, C2P (I/P) Airflow, w/ Cumulus[MSN2201-CB2RC]</t>
        </is>
      </c>
      <c r="C11" t="inlineStr">
        <is>
          <t>920-9N110-00R1-0C0</t>
        </is>
      </c>
      <c r="D11" t="inlineStr">
        <is>
          <t>TX78X</t>
        </is>
      </c>
      <c r="E11" t="inlineStr">
        <is>
          <t>Switch</t>
        </is>
      </c>
      <c r="F11" t="inlineStr">
        <is>
          <t>OOB Networking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205</v>
      </c>
      <c r="O11" t="n">
        <v>198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Y11">
        <f>SUM(F7:W7)</f>
        <v/>
      </c>
    </row>
    <row r="12">
      <c r="A12" t="inlineStr">
        <is>
          <t>920-9N110-00R1-NC0</t>
        </is>
      </c>
      <c r="B12" t="inlineStr">
        <is>
          <t>SN2201 48x1G + 4x100G, DC Busbar Air Cooled</t>
        </is>
      </c>
      <c r="C12" t="inlineStr">
        <is>
          <t>920-9N110-00R1-NC0</t>
        </is>
      </c>
      <c r="D12" t="inlineStr">
        <is>
          <t>J2MV9</t>
        </is>
      </c>
      <c r="E12" t="inlineStr">
        <is>
          <t>Switch</t>
        </is>
      </c>
      <c r="F12" t="inlineStr">
        <is>
          <t>OOB Networking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116</v>
      </c>
      <c r="Q12" t="n">
        <v>160</v>
      </c>
      <c r="R12" t="n">
        <v>764</v>
      </c>
      <c r="S12" t="n">
        <v>764</v>
      </c>
      <c r="T12" t="n">
        <v>52</v>
      </c>
      <c r="Y12">
        <f>SUM(F8:W8)</f>
        <v/>
      </c>
    </row>
    <row r="13">
      <c r="A13" t="inlineStr">
        <is>
          <t>920-9N110-01R1-NC0 (DPN: J2MV9)</t>
        </is>
      </c>
      <c r="B13" t="inlineStr">
        <is>
          <t>NVDA SN2201 48x1G (BT), 2AC PSU, C2P (I/P) Airflow, w/ BusBar, w/ Cumulus[MSN2201-CSMRC]</t>
        </is>
      </c>
      <c r="C13" t="inlineStr">
        <is>
          <t>920-9N110-00R1-NC0</t>
        </is>
      </c>
      <c r="D13" t="inlineStr">
        <is>
          <t>J2MV9</t>
        </is>
      </c>
      <c r="E13" t="inlineStr">
        <is>
          <t>Switch</t>
        </is>
      </c>
      <c r="F13" t="inlineStr">
        <is>
          <t>OOB Networking</t>
        </is>
      </c>
      <c r="G13" t="n">
        <v>0</v>
      </c>
      <c r="H13" t="n">
        <v>0</v>
      </c>
      <c r="I13" t="n">
        <v>8</v>
      </c>
      <c r="J13" t="n">
        <v>21</v>
      </c>
      <c r="K13" t="n">
        <v>92</v>
      </c>
      <c r="L13" t="n">
        <v>28</v>
      </c>
      <c r="M13" t="n">
        <v>75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Y13">
        <f>SUM(F9:W9)</f>
        <v/>
      </c>
    </row>
    <row r="14">
      <c r="A14" t="inlineStr">
        <is>
          <t>920-9N301-00RB-0C0</t>
        </is>
      </c>
      <c r="B14" t="inlineStr">
        <is>
          <t>NVDA SN4700 400GbE, 32xQSFPDD, 1U, 2AC PSU, C2P (I/P) Airflow, w/ Cumulus[MSN4700-WS2RC]</t>
        </is>
      </c>
      <c r="C14" t="inlineStr">
        <is>
          <t>920-9N301-00RB-0C0</t>
        </is>
      </c>
      <c r="D14" t="inlineStr">
        <is>
          <t>7F0JN</t>
        </is>
      </c>
      <c r="E14" t="inlineStr">
        <is>
          <t>Switch</t>
        </is>
      </c>
      <c r="F14" t="inlineStr">
        <is>
          <t>E-W Networking</t>
        </is>
      </c>
      <c r="G14" t="n">
        <v>2</v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4</v>
      </c>
      <c r="P14" t="n">
        <v>6</v>
      </c>
      <c r="Q14" t="n">
        <v>6</v>
      </c>
      <c r="R14" t="n">
        <v>8</v>
      </c>
      <c r="S14" t="n">
        <v>8</v>
      </c>
      <c r="T14" t="n">
        <v>6</v>
      </c>
      <c r="Y14">
        <f>SUM(F10:W10)</f>
        <v/>
      </c>
    </row>
    <row r="15">
      <c r="A15" t="inlineStr">
        <is>
          <t>920-9N301-00RB-NC0</t>
        </is>
      </c>
      <c r="B15" t="inlineStr">
        <is>
          <t>SN4700D, Spectrum-3 based 400GbE 1U Open Ethernet Switch, 32 QSFPDD ports, 48VDC Busbar, x86 CPU, standard depth, C2P airflow, Rail Kit, with Cumulus</t>
        </is>
      </c>
      <c r="C15" t="inlineStr">
        <is>
          <t>920-9N301-00RB-NC0</t>
        </is>
      </c>
      <c r="E15" t="inlineStr">
        <is>
          <t>Switch</t>
        </is>
      </c>
      <c r="F15" t="inlineStr">
        <is>
          <t>E-W Networking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</v>
      </c>
      <c r="Q15" t="n">
        <v>64</v>
      </c>
      <c r="R15" t="n">
        <v>256</v>
      </c>
      <c r="S15" t="n">
        <v>256</v>
      </c>
      <c r="T15" t="n">
        <v>18</v>
      </c>
      <c r="Y15">
        <f>SUM(F11:W11)</f>
        <v/>
      </c>
    </row>
    <row r="16">
      <c r="A16" t="inlineStr">
        <is>
          <t>920-9N42F-00RI-3C1</t>
        </is>
      </c>
      <c r="B16" t="inlineStr">
        <is>
          <t>NVDA SN5610 2U 64xOSFP112, 4xAC PSU, C2P (I/P) Airflow, w/ Cumulus[MSN5610???]</t>
        </is>
      </c>
      <c r="C16" t="inlineStr">
        <is>
          <t>920-9N42F-00RI-3C1</t>
        </is>
      </c>
      <c r="D16" t="inlineStr">
        <is>
          <t>52MJM</t>
        </is>
      </c>
      <c r="E16" t="inlineStr">
        <is>
          <t>Switch</t>
        </is>
      </c>
      <c r="F16" t="inlineStr">
        <is>
          <t>N-S Networking</t>
        </is>
      </c>
      <c r="G16" t="n">
        <v>46</v>
      </c>
      <c r="H16" t="n">
        <v>428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Y16">
        <f>SUM(F12:W12)</f>
        <v/>
      </c>
    </row>
    <row r="17">
      <c r="A17" t="inlineStr">
        <is>
          <t>920-9N42F-00RI-KC0</t>
        </is>
      </c>
      <c r="B17" t="inlineStr">
        <is>
          <t>NVDA SN5600D 2U 64xOSFP112, DC BusBar, C2P (I/P) Airflow, w/ Cumulus[MSN5600D???]</t>
        </is>
      </c>
      <c r="C17" t="inlineStr">
        <is>
          <t>920-9N42F-00RI-KC0</t>
        </is>
      </c>
      <c r="D17" t="inlineStr">
        <is>
          <t>CTT0V</t>
        </is>
      </c>
      <c r="E17" t="inlineStr">
        <is>
          <t>Switch</t>
        </is>
      </c>
      <c r="F17" t="inlineStr">
        <is>
          <t>N-S Networking</t>
        </is>
      </c>
      <c r="G17" t="n">
        <v>0</v>
      </c>
      <c r="H17" t="n">
        <v>0</v>
      </c>
      <c r="I17" t="n">
        <v>0</v>
      </c>
      <c r="J17" t="n">
        <v>70</v>
      </c>
      <c r="K17" t="n">
        <v>338</v>
      </c>
      <c r="L17" t="n">
        <v>94</v>
      </c>
      <c r="M17" t="n">
        <v>280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Y17">
        <f>SUM(F13:W13)</f>
        <v/>
      </c>
    </row>
    <row r="18">
      <c r="A18" t="inlineStr">
        <is>
          <t>920-9N62F-00LI-GC1</t>
        </is>
      </c>
      <c r="B18" t="inlineStr">
        <is>
          <t>SN6600-LD - NVIDIA Spectrum-6 based 800GbE Ethernet switch with Cumulus Linux Authentication, 64 OSFP, 1 QSFP112, 48VDC Busbar, 8-Cores CPU, Secure-boot, Liquid-Cooling, Rail-Kit.</t>
        </is>
      </c>
      <c r="C18" t="inlineStr">
        <is>
          <t>920-9N62F-00LI-GC1</t>
        </is>
      </c>
      <c r="D18" t="inlineStr">
        <is>
          <t>3KF5K</t>
        </is>
      </c>
      <c r="E18" t="inlineStr">
        <is>
          <t>Switch</t>
        </is>
      </c>
      <c r="F18" t="inlineStr">
        <is>
          <t>N-S Networking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1176</v>
      </c>
      <c r="Q18" t="n">
        <v>1528</v>
      </c>
      <c r="R18" t="n">
        <v>6112</v>
      </c>
      <c r="S18" t="n">
        <v>6112</v>
      </c>
      <c r="T18" t="n">
        <v>544</v>
      </c>
      <c r="Y18">
        <f>SUM(F14:W14)</f>
        <v/>
      </c>
    </row>
    <row r="19">
      <c r="A19" t="inlineStr">
        <is>
          <t>980-9I042-00C000</t>
        </is>
      </c>
      <c r="B19" t="inlineStr">
        <is>
          <t>NVDA XCVR, 100GbE, QSFP28, LC, 1310nm, Single Mode 1-lane (DR1), IP[MMS1V70-CM]</t>
        </is>
      </c>
      <c r="C19" t="inlineStr">
        <is>
          <t>980-9I042-00C000</t>
        </is>
      </c>
      <c r="D19" t="inlineStr">
        <is>
          <t>8XTGF</t>
        </is>
      </c>
      <c r="E19" t="inlineStr">
        <is>
          <t>Transceiver</t>
        </is>
      </c>
      <c r="F19" t="inlineStr">
        <is>
          <t>N-S Networking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1502</v>
      </c>
      <c r="Q19" t="n">
        <v>2250</v>
      </c>
      <c r="R19" t="n">
        <v>9222</v>
      </c>
      <c r="S19" t="n">
        <v>9222</v>
      </c>
      <c r="T19" t="n">
        <v>654</v>
      </c>
      <c r="Y19">
        <f>SUM(F15:W15)</f>
        <v/>
      </c>
    </row>
    <row r="20">
      <c r="A20" t="inlineStr">
        <is>
          <t>980-9I16Y-00W000</t>
        </is>
      </c>
      <c r="B20" t="inlineStr">
        <is>
          <t>NVDA  400G to 4x100, QSFD-DD,MPO,1310nm SMF, up to 500m, DR4 [MMS1V00-WM]</t>
        </is>
      </c>
      <c r="C20" t="inlineStr">
        <is>
          <t>980-9I16Y-00W000</t>
        </is>
      </c>
      <c r="D20" t="inlineStr">
        <is>
          <t>NRW8Y</t>
        </is>
      </c>
      <c r="E20" t="inlineStr">
        <is>
          <t>Transceiver</t>
        </is>
      </c>
      <c r="F20" t="inlineStr">
        <is>
          <t>N-S Networking</t>
        </is>
      </c>
      <c r="G20" t="n">
        <v>48</v>
      </c>
      <c r="H20" t="n">
        <v>32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16</v>
      </c>
      <c r="O20" t="n">
        <v>16</v>
      </c>
      <c r="P20" t="n">
        <v>67</v>
      </c>
      <c r="Q20" t="n">
        <v>89</v>
      </c>
      <c r="R20" t="n">
        <v>2183</v>
      </c>
      <c r="S20" t="n">
        <v>2183</v>
      </c>
      <c r="T20" t="n">
        <v>152</v>
      </c>
      <c r="Y20">
        <f>SUM(F16:W16)</f>
        <v/>
      </c>
    </row>
    <row r="21">
      <c r="A21" t="inlineStr">
        <is>
          <t>980-9I30G-F4NM00</t>
        </is>
      </c>
      <c r="B21" t="inlineStr">
        <is>
          <t>NVDA twin port XCVR, 800GbE,2x400,IPonly,O112,2xMPO12 APC,1310N SMF,to 500m,finned HIS[MMS4X00-NM-T]</t>
        </is>
      </c>
      <c r="C21" t="inlineStr">
        <is>
          <t>980-9I30G-F4NM00</t>
        </is>
      </c>
      <c r="D21" t="inlineStr">
        <is>
          <t>YW1C0</t>
        </is>
      </c>
      <c r="E21" t="inlineStr">
        <is>
          <t>Transceiver</t>
        </is>
      </c>
      <c r="F21" t="inlineStr">
        <is>
          <t>N-S Networking</t>
        </is>
      </c>
      <c r="G21" t="n">
        <v>0</v>
      </c>
      <c r="H21" t="n">
        <v>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792</v>
      </c>
      <c r="O21" t="n">
        <v>840</v>
      </c>
      <c r="P21" t="n">
        <v>16</v>
      </c>
      <c r="Q21" t="n">
        <v>21</v>
      </c>
      <c r="R21" t="n">
        <v>70</v>
      </c>
      <c r="S21" t="n">
        <v>70</v>
      </c>
      <c r="T21" t="n">
        <v>10</v>
      </c>
      <c r="Y21">
        <f>SUM(F17:W17)</f>
        <v/>
      </c>
    </row>
    <row r="22">
      <c r="A22" t="inlineStr">
        <is>
          <t>980-9IAJ0-00XM00</t>
        </is>
      </c>
      <c r="B22" t="inlineStr">
        <is>
          <t>NVIDIA twin port XCVR, 2xDR4,1600Gbps,OSFP, 2xMPO(APC), 1310nm SMF, up to 500m, RHS, TRO, IP Only</t>
        </is>
      </c>
      <c r="C22" t="inlineStr">
        <is>
          <t>980-9IAJ0-00XM00</t>
        </is>
      </c>
      <c r="D22" t="inlineStr">
        <is>
          <t>M5G88</t>
        </is>
      </c>
      <c r="E22" t="inlineStr">
        <is>
          <t>Transceiver</t>
        </is>
      </c>
      <c r="F22" t="inlineStr">
        <is>
          <t>N-S Networking</t>
        </is>
      </c>
      <c r="G22" t="n">
        <v>0</v>
      </c>
      <c r="H22" t="n">
        <v>0</v>
      </c>
      <c r="I22" t="n">
        <v>288</v>
      </c>
      <c r="J22" t="n">
        <v>0</v>
      </c>
      <c r="K22" t="n">
        <v>54432</v>
      </c>
      <c r="L22" t="n">
        <v>15120</v>
      </c>
      <c r="M22" t="n">
        <v>30240</v>
      </c>
      <c r="N22" t="n">
        <v>0</v>
      </c>
      <c r="O22" t="n">
        <v>0</v>
      </c>
      <c r="P22" t="n">
        <v>84672</v>
      </c>
      <c r="Q22" t="n">
        <v>129024</v>
      </c>
      <c r="R22" t="n">
        <v>516096</v>
      </c>
      <c r="S22" t="n">
        <v>516096</v>
      </c>
      <c r="T22" t="n">
        <v>27360</v>
      </c>
      <c r="Y22">
        <f>SUM(F18:W18)</f>
        <v/>
      </c>
    </row>
    <row r="23">
      <c r="A23" t="inlineStr">
        <is>
          <t>A7204378</t>
        </is>
      </c>
      <c r="B23" t="inlineStr">
        <is>
          <t>Switch Xcvr to LC Patch Panel LC-LC short leg patch cable, Other end is MPO to 4xLC to OOB Spine</t>
        </is>
      </c>
      <c r="E23" t="inlineStr">
        <is>
          <t>Cables</t>
        </is>
      </c>
      <c r="F23" t="inlineStr">
        <is>
          <t>OOB Networking</t>
        </is>
      </c>
      <c r="G23" t="n">
        <v>0</v>
      </c>
      <c r="H23" t="n">
        <v>0</v>
      </c>
      <c r="I23" t="n">
        <v>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Y23">
        <f>SUM(F19:W19)</f>
        <v/>
      </c>
    </row>
    <row r="24">
      <c r="A24" t="inlineStr">
        <is>
          <t>Aircool AC Rack</t>
        </is>
      </c>
      <c r="C24" t="inlineStr">
        <is>
          <t>Aircool AC Rack</t>
        </is>
      </c>
      <c r="E24" t="inlineStr">
        <is>
          <t>Other</t>
        </is>
      </c>
      <c r="F24" t="inlineStr">
        <is>
          <t>Scale Out Networking</t>
        </is>
      </c>
      <c r="U24" t="n">
        <v>28</v>
      </c>
      <c r="V24" t="n">
        <v>28</v>
      </c>
      <c r="W24" t="n">
        <v>50</v>
      </c>
      <c r="X24" t="n">
        <v>32</v>
      </c>
      <c r="Y24">
        <f>SUM(F20:W20)</f>
        <v/>
      </c>
    </row>
    <row r="25">
      <c r="A25" t="inlineStr">
        <is>
          <t>C4X6C VSR4</t>
        </is>
      </c>
      <c r="B25" t="inlineStr">
        <is>
          <t>Hisense 80C multi‑mode QSFP112 transceiver</t>
        </is>
      </c>
      <c r="E25" t="inlineStr">
        <is>
          <t>Transceiver</t>
        </is>
      </c>
      <c r="F25" t="inlineStr">
        <is>
          <t>E-W Networking</t>
        </is>
      </c>
      <c r="G25" t="n">
        <v>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Y25">
        <f>SUM(F21:W21)</f>
        <v/>
      </c>
    </row>
    <row r="26">
      <c r="A26" t="inlineStr">
        <is>
          <t>CAT6 Thin 10M</t>
        </is>
      </c>
      <c r="C26" t="inlineStr">
        <is>
          <t>CAT6 Thin 10M</t>
        </is>
      </c>
      <c r="E26" t="inlineStr">
        <is>
          <t>Other</t>
        </is>
      </c>
      <c r="F26" t="inlineStr">
        <is>
          <t>Scale Out Networking</t>
        </is>
      </c>
      <c r="U26" t="n">
        <v>4048</v>
      </c>
      <c r="V26" t="n">
        <v>4048</v>
      </c>
      <c r="W26" t="n">
        <v>8510</v>
      </c>
      <c r="X26" t="n">
        <v>5198</v>
      </c>
      <c r="Y26">
        <f>SUM(F22:W22)</f>
        <v/>
      </c>
    </row>
    <row r="27">
      <c r="A27" t="inlineStr">
        <is>
          <t>CAT6 Thin 3M</t>
        </is>
      </c>
      <c r="C27" t="inlineStr">
        <is>
          <t>CAT6 Thin 3M</t>
        </is>
      </c>
      <c r="E27" t="inlineStr">
        <is>
          <t>Other</t>
        </is>
      </c>
      <c r="F27" t="inlineStr">
        <is>
          <t>Scale Out Networking</t>
        </is>
      </c>
      <c r="U27" t="n">
        <v>10304</v>
      </c>
      <c r="V27" t="n">
        <v>10304</v>
      </c>
      <c r="W27" t="n">
        <v>21896</v>
      </c>
      <c r="X27" t="n">
        <v>11592</v>
      </c>
      <c r="Y27">
        <f>SUM(F23:W23)</f>
        <v/>
      </c>
    </row>
    <row r="28">
      <c r="A28" t="inlineStr">
        <is>
          <t>Cat 6 Cable</t>
        </is>
      </c>
      <c r="B28" t="inlineStr">
        <is>
          <t>NVIDIA Spectrum-6 based 800GbE Ethernet switch with Cumulus Linux Authentication, 64 OSFP, 1 QSFP112, 48VDC Busbar, 8-Cores CPU, Secure-boot, Liquid-Cooling, Rail-Kit.D39</t>
        </is>
      </c>
      <c r="E28" t="inlineStr">
        <is>
          <t>Cables</t>
        </is>
      </c>
      <c r="F28" t="inlineStr">
        <is>
          <t>N-S Networking</t>
        </is>
      </c>
      <c r="G28" t="n">
        <v>0</v>
      </c>
      <c r="H28" t="n">
        <v>0</v>
      </c>
      <c r="I28" t="n">
        <v>32</v>
      </c>
      <c r="J28" t="n">
        <v>0</v>
      </c>
      <c r="K28" t="n">
        <v>864</v>
      </c>
      <c r="L28" t="n">
        <v>256</v>
      </c>
      <c r="M28" t="n">
        <v>480</v>
      </c>
      <c r="N28" t="n">
        <v>242</v>
      </c>
      <c r="O28" t="n">
        <v>234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Y28">
        <f>SUM(F24:W24)</f>
        <v/>
      </c>
    </row>
    <row r="29">
      <c r="A29" t="inlineStr">
        <is>
          <t>Corning 4x100 Breakout PP</t>
        </is>
      </c>
      <c r="B29" t="inlineStr">
        <is>
          <t>Final Count will come from Actual BOM</t>
        </is>
      </c>
      <c r="E29" t="inlineStr">
        <is>
          <t>Transceiver</t>
        </is>
      </c>
      <c r="F29" t="inlineStr">
        <is>
          <t>N-S Networking</t>
        </is>
      </c>
      <c r="G29" t="n">
        <v>0</v>
      </c>
      <c r="H29" t="n">
        <v>0</v>
      </c>
      <c r="I29" t="n">
        <v>0</v>
      </c>
      <c r="J29" t="n">
        <v>0</v>
      </c>
      <c r="K29" t="n">
        <v>24</v>
      </c>
      <c r="L29" t="n">
        <v>8</v>
      </c>
      <c r="M29" t="n">
        <v>24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Y29">
        <f>SUM(F25:W25)</f>
        <v/>
      </c>
    </row>
    <row r="30">
      <c r="A30" t="inlineStr">
        <is>
          <t>D3P20</t>
        </is>
      </c>
      <c r="B30" t="inlineStr">
        <is>
          <t>MOD,CBL,MPO12-APC,SMF,5M</t>
        </is>
      </c>
      <c r="E30" t="inlineStr">
        <is>
          <t>Cables</t>
        </is>
      </c>
      <c r="F30" t="inlineStr">
        <is>
          <t>N-S Networking</t>
        </is>
      </c>
      <c r="G30" t="n">
        <v>12</v>
      </c>
      <c r="H30" t="n">
        <v>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Y30">
        <f>SUM(F26:W26)</f>
        <v/>
      </c>
    </row>
    <row r="31">
      <c r="A31" t="inlineStr">
        <is>
          <t>DLC DC Rack</t>
        </is>
      </c>
      <c r="C31" t="inlineStr">
        <is>
          <t>DLC DC Rack</t>
        </is>
      </c>
      <c r="E31" t="inlineStr">
        <is>
          <t>Other</t>
        </is>
      </c>
      <c r="F31" t="inlineStr">
        <is>
          <t>Scale Out Networking</t>
        </is>
      </c>
      <c r="U31" t="n">
        <v>48</v>
      </c>
      <c r="V31" t="n">
        <v>24</v>
      </c>
      <c r="W31" t="n">
        <v>52</v>
      </c>
      <c r="X31" t="n">
        <v>36</v>
      </c>
      <c r="Y31">
        <f>SUM(F27:W27)</f>
        <v/>
      </c>
    </row>
    <row r="32">
      <c r="A32" t="inlineStr">
        <is>
          <t>EDGE-03U-8B2X2G</t>
        </is>
      </c>
      <c r="B32" t="inlineStr">
        <is>
          <t>3U EDGE Shuffling Housing, Holds 8_2x2 Type B Modules for 128 input x 128 output ports</t>
        </is>
      </c>
      <c r="E32" t="inlineStr">
        <is>
          <t>Rack</t>
        </is>
      </c>
      <c r="F32" t="inlineStr">
        <is>
          <t>Patch Panels / Shuffle Components</t>
        </is>
      </c>
      <c r="G32" t="n">
        <v>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Y32">
        <f>SUM(F28:W28)</f>
        <v/>
      </c>
    </row>
    <row r="33">
      <c r="A33" t="inlineStr">
        <is>
          <t>Fiber Jumper Cable</t>
        </is>
      </c>
      <c r="E33" t="inlineStr">
        <is>
          <t>Cables</t>
        </is>
      </c>
      <c r="F33" t="inlineStr">
        <is>
          <t>N-S Networking</t>
        </is>
      </c>
      <c r="G33" t="n">
        <v>0</v>
      </c>
      <c r="H33" t="n">
        <v>0</v>
      </c>
      <c r="I33" t="n">
        <v>0</v>
      </c>
      <c r="J33" t="n">
        <v>0</v>
      </c>
      <c r="K33" t="n">
        <v>72576</v>
      </c>
      <c r="L33" t="n">
        <v>0</v>
      </c>
      <c r="M33" t="n">
        <v>30240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Y33">
        <f>SUM(F29:W29)</f>
        <v/>
      </c>
    </row>
    <row r="34">
      <c r="A34" t="inlineStr">
        <is>
          <t>Fiber Jumper cables</t>
        </is>
      </c>
      <c r="B34" t="inlineStr">
        <is>
          <t>Jumper cables from shiuffle box to leaf</t>
        </is>
      </c>
      <c r="E34" t="inlineStr">
        <is>
          <t>Cables</t>
        </is>
      </c>
      <c r="F34" t="inlineStr">
        <is>
          <t>N-S Networking</t>
        </is>
      </c>
      <c r="G34" t="n">
        <v>0</v>
      </c>
      <c r="H34" t="n">
        <v>0</v>
      </c>
      <c r="I34" t="n">
        <v>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Y34">
        <f>SUM(F30:W30)</f>
        <v/>
      </c>
    </row>
    <row r="35">
      <c r="A35" t="inlineStr">
        <is>
          <t>Fiber panel T1-NtwkRack</t>
        </is>
      </c>
      <c r="C35" t="inlineStr">
        <is>
          <t>Fiber panel T1-NtwkRack</t>
        </is>
      </c>
      <c r="E35" t="inlineStr">
        <is>
          <t>Rack</t>
        </is>
      </c>
      <c r="F35" t="inlineStr">
        <is>
          <t>Scale Out Networking</t>
        </is>
      </c>
      <c r="U35" t="n">
        <v>256</v>
      </c>
      <c r="Y35">
        <f>SUM(F31:W31)</f>
        <v/>
      </c>
    </row>
    <row r="36">
      <c r="A36" t="inlineStr">
        <is>
          <t>Fiber panel per T1-NtwkRack</t>
        </is>
      </c>
      <c r="C36" t="inlineStr">
        <is>
          <t>Fiber panel per T1-NtwkRack</t>
        </is>
      </c>
      <c r="E36" t="inlineStr">
        <is>
          <t>Rack</t>
        </is>
      </c>
      <c r="F36" t="inlineStr">
        <is>
          <t>Scale Out Networking</t>
        </is>
      </c>
      <c r="U36" t="n">
        <v>8</v>
      </c>
      <c r="Y36">
        <f>SUM(F32:W32)</f>
        <v/>
      </c>
    </row>
    <row r="37">
      <c r="A37" t="inlineStr">
        <is>
          <t>Fiber shuffle cassette</t>
        </is>
      </c>
      <c r="C37" t="inlineStr">
        <is>
          <t>Fiber shuffle cassette</t>
        </is>
      </c>
      <c r="E37" t="inlineStr">
        <is>
          <t>Rack</t>
        </is>
      </c>
      <c r="F37" t="inlineStr">
        <is>
          <t>Scale Out Networking</t>
        </is>
      </c>
      <c r="U37" t="n">
        <v>4032</v>
      </c>
      <c r="Y37">
        <f>SUM(F33:W33)</f>
        <v/>
      </c>
    </row>
    <row r="38">
      <c r="A38" t="inlineStr">
        <is>
          <t>Fiber shuffle cassette per T1-NtwkRack</t>
        </is>
      </c>
      <c r="C38" t="inlineStr">
        <is>
          <t>Fiber shuffle cassette per T1-NtwkRack</t>
        </is>
      </c>
      <c r="E38" t="inlineStr">
        <is>
          <t>Rack</t>
        </is>
      </c>
      <c r="F38" t="inlineStr">
        <is>
          <t>Scale Out Networking</t>
        </is>
      </c>
      <c r="U38" t="n">
        <v>126</v>
      </c>
      <c r="Y38">
        <f>SUM(F34:W34)</f>
        <v/>
      </c>
    </row>
    <row r="39">
      <c r="A39" t="inlineStr">
        <is>
          <t>FiberPanel</t>
        </is>
      </c>
      <c r="B39" t="inlineStr">
        <is>
          <t>2U Panel</t>
        </is>
      </c>
      <c r="C39" t="inlineStr">
        <is>
          <t>FiberPanel</t>
        </is>
      </c>
      <c r="E39" t="inlineStr">
        <is>
          <t>Rack</t>
        </is>
      </c>
      <c r="F39" t="inlineStr">
        <is>
          <t>Patch Panels / Shuffle Components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3584</v>
      </c>
      <c r="S39" t="n">
        <v>3584</v>
      </c>
      <c r="T39" t="n">
        <v>0</v>
      </c>
      <c r="Y39">
        <f>SUM(F35:W35)</f>
        <v/>
      </c>
    </row>
    <row r="40">
      <c r="A40" t="inlineStr">
        <is>
          <t>FiberPanel - 2U</t>
        </is>
      </c>
      <c r="B40" t="inlineStr">
        <is>
          <t>One Patch Panel to rack where SN4700 is installed since 4x100G cable length max size is 5m</t>
        </is>
      </c>
      <c r="E40" t="inlineStr">
        <is>
          <t>Cables</t>
        </is>
      </c>
      <c r="F40" t="inlineStr">
        <is>
          <t>Patch Panels / Shuffle Components</t>
        </is>
      </c>
      <c r="G40" t="n">
        <v>0</v>
      </c>
      <c r="H40" t="n">
        <v>4</v>
      </c>
      <c r="I40" t="n">
        <v>4</v>
      </c>
      <c r="J40" t="n">
        <v>4</v>
      </c>
      <c r="K40" t="n">
        <v>512</v>
      </c>
      <c r="L40" t="n">
        <v>0</v>
      </c>
      <c r="M40" t="n">
        <v>240</v>
      </c>
      <c r="N40" t="n">
        <v>0</v>
      </c>
      <c r="O40" t="n">
        <v>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Y40">
        <f>SUM(F36:W36)</f>
        <v/>
      </c>
    </row>
    <row r="41">
      <c r="A41" t="inlineStr">
        <is>
          <t>Fibre Shuffle Cassettes</t>
        </is>
      </c>
      <c r="B41" t="inlineStr">
        <is>
          <t>Cassette /SU for Leaf Rack GPU to Leaf [Hosted in Leaf rack] - - MPO-8 4x4 Shuffle Module, 4x8f MPO/APC pinned rear to 4X8f MPO/APC pinned front</t>
        </is>
      </c>
      <c r="C41" t="inlineStr">
        <is>
          <t>Fibre Shuffle Cassettes</t>
        </is>
      </c>
      <c r="E41" t="inlineStr">
        <is>
          <t>Rack</t>
        </is>
      </c>
      <c r="F41" t="inlineStr">
        <is>
          <t>Patch Panels / Shuffle Components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10584</v>
      </c>
      <c r="Q41" t="n">
        <v>16128</v>
      </c>
      <c r="R41" t="n">
        <v>129024</v>
      </c>
      <c r="S41" t="n">
        <v>129024</v>
      </c>
      <c r="T41" t="n">
        <v>4536</v>
      </c>
      <c r="Y41">
        <f>SUM(F37:W37)</f>
        <v/>
      </c>
    </row>
    <row r="42">
      <c r="A42" t="inlineStr">
        <is>
          <t>GEDEDU8GPN-008-U030M</t>
        </is>
      </c>
      <c r="B42" t="inlineStr">
        <is>
          <t>288f Trunk, SMF, MPO8 APC Non-pinned to MPO8 APC Non-pinned, Type B Polarity, 8' leg length</t>
        </is>
      </c>
      <c r="E42" t="inlineStr">
        <is>
          <t>Rack</t>
        </is>
      </c>
      <c r="F42" t="inlineStr">
        <is>
          <t>Racks, PDUs and CDUs</t>
        </is>
      </c>
      <c r="G42" t="n">
        <v>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Y42">
        <f>SUM(F38:W38)</f>
        <v/>
      </c>
    </row>
    <row r="43">
      <c r="A43" t="inlineStr">
        <is>
          <t>IR5000</t>
        </is>
      </c>
      <c r="B43" t="inlineStr">
        <is>
          <t>IR5000/750mm</t>
        </is>
      </c>
      <c r="E43" t="inlineStr">
        <is>
          <t>Rack</t>
        </is>
      </c>
      <c r="F43" t="inlineStr">
        <is>
          <t>Racks, PDUs and CDUs</t>
        </is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Y43">
        <f>SUM(F39:W39)</f>
        <v/>
      </c>
    </row>
    <row r="44">
      <c r="A44" t="inlineStr">
        <is>
          <t>IR9048</t>
        </is>
      </c>
      <c r="B44" t="inlineStr">
        <is>
          <t>750mm x 1200mm/ 48RU</t>
        </is>
      </c>
      <c r="E44" t="inlineStr">
        <is>
          <t>Rack</t>
        </is>
      </c>
      <c r="F44" t="inlineStr">
        <is>
          <t>Racks, PDUs and CDUs</t>
        </is>
      </c>
      <c r="G44" t="n">
        <v>4</v>
      </c>
      <c r="H44" t="n">
        <v>0</v>
      </c>
      <c r="I44" t="n">
        <v>0</v>
      </c>
      <c r="J44" t="n">
        <v>11</v>
      </c>
      <c r="K44" t="n">
        <v>36</v>
      </c>
      <c r="L44" t="n">
        <v>13</v>
      </c>
      <c r="M44" t="n">
        <v>30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Y44">
        <f>SUM(F40:W40)</f>
        <v/>
      </c>
    </row>
    <row r="45">
      <c r="A45" t="inlineStr">
        <is>
          <t>IR9148</t>
        </is>
      </c>
      <c r="B45" t="inlineStr">
        <is>
          <t>750mm x 1200mm/ 48RU</t>
        </is>
      </c>
      <c r="E45" t="inlineStr">
        <is>
          <t>Rack</t>
        </is>
      </c>
      <c r="F45" t="inlineStr">
        <is>
          <t>Racks, PDUs and CDUs</t>
        </is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32</v>
      </c>
      <c r="M45" t="n">
        <v>0</v>
      </c>
      <c r="N45" t="n">
        <v>2</v>
      </c>
      <c r="O45" t="n">
        <v>2</v>
      </c>
      <c r="P45" t="n">
        <v>116</v>
      </c>
      <c r="Q45" t="n">
        <v>160</v>
      </c>
      <c r="R45" t="n">
        <v>764</v>
      </c>
      <c r="S45" t="n">
        <v>764</v>
      </c>
      <c r="T45" t="n">
        <v>52</v>
      </c>
      <c r="Y45">
        <f>SUM(F41:W41)</f>
        <v/>
      </c>
    </row>
    <row r="46">
      <c r="A46" t="inlineStr">
        <is>
          <t>IR9149</t>
        </is>
      </c>
      <c r="B46" t="inlineStr">
        <is>
          <t>IR9000/750mmx1200mm/48U</t>
        </is>
      </c>
      <c r="E46" t="inlineStr">
        <is>
          <t>Rack</t>
        </is>
      </c>
      <c r="F46" t="inlineStr">
        <is>
          <t>Racks, PDUs and CDUs</t>
        </is>
      </c>
      <c r="G46" t="n">
        <v>0</v>
      </c>
      <c r="H46" t="n">
        <v>0</v>
      </c>
      <c r="I46" t="n">
        <v>0</v>
      </c>
      <c r="J46" t="n">
        <v>0</v>
      </c>
      <c r="K46" t="n">
        <v>40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Y46">
        <f>SUM(F42:W42)</f>
        <v/>
      </c>
    </row>
    <row r="47">
      <c r="A47" t="inlineStr">
        <is>
          <t>J6TD3</t>
        </is>
      </c>
      <c r="B47" t="inlineStr">
        <is>
          <t>CBL-MPO12-4LC-SM-5M</t>
        </is>
      </c>
      <c r="E47" t="inlineStr">
        <is>
          <t>Cables</t>
        </is>
      </c>
      <c r="F47" t="inlineStr">
        <is>
          <t>N-S Networking</t>
        </is>
      </c>
      <c r="G47" t="n">
        <v>24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Y47">
        <f>SUM(F43:W43)</f>
        <v/>
      </c>
    </row>
    <row r="48">
      <c r="A48" t="inlineStr">
        <is>
          <t>JEDED08GE8-NB003M</t>
        </is>
      </c>
      <c r="B48" t="inlineStr">
        <is>
          <t>8f Jumper, SMF, MPO8 APC Non-pinned to MPO8 APC Non-pinned, Type B Polarity</t>
        </is>
      </c>
      <c r="E48" t="inlineStr">
        <is>
          <t>Rack</t>
        </is>
      </c>
      <c r="F48" t="inlineStr">
        <is>
          <t>Racks, PDUs and CDUs</t>
        </is>
      </c>
      <c r="G48" t="n">
        <v>2048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Y48">
        <f>SUM(F44:W44)</f>
        <v/>
      </c>
    </row>
    <row r="49">
      <c r="A49" t="inlineStr">
        <is>
          <t>LC QSFP28-100G-DR1</t>
        </is>
      </c>
      <c r="C49" t="inlineStr">
        <is>
          <t>LC QSFP28-100G-DR1</t>
        </is>
      </c>
      <c r="E49" t="inlineStr">
        <is>
          <t>Other</t>
        </is>
      </c>
      <c r="F49" t="inlineStr">
        <is>
          <t>Scale Out Networking</t>
        </is>
      </c>
      <c r="U49" t="n">
        <v>678</v>
      </c>
      <c r="V49" t="n">
        <v>678</v>
      </c>
      <c r="W49" t="n">
        <v>1412</v>
      </c>
      <c r="X49" t="n">
        <v>788</v>
      </c>
      <c r="Y49">
        <f>SUM(F45:W45)</f>
        <v/>
      </c>
    </row>
    <row r="50">
      <c r="A50" t="inlineStr">
        <is>
          <t>MFP7E10-N05</t>
        </is>
      </c>
      <c r="B50" t="inlineStr">
        <is>
          <t>(MPO‑12) multimode fiber cable Type‑B</t>
        </is>
      </c>
      <c r="E50" t="inlineStr">
        <is>
          <t>Cables</t>
        </is>
      </c>
      <c r="F50" t="inlineStr">
        <is>
          <t>N-S Networking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Y50">
        <f>SUM(F46:W46)</f>
        <v/>
      </c>
    </row>
    <row r="51">
      <c r="A51" t="inlineStr">
        <is>
          <t>MFP7E10-N050</t>
        </is>
      </c>
      <c r="B51" t="inlineStr">
        <is>
          <t>MultiMode Fiber 5 meter MPO12/APC OM4</t>
        </is>
      </c>
      <c r="E51" t="inlineStr">
        <is>
          <t>Cables</t>
        </is>
      </c>
      <c r="F51" t="inlineStr">
        <is>
          <t>N-S Networking</t>
        </is>
      </c>
      <c r="G51" t="n">
        <v>0</v>
      </c>
      <c r="H51" t="n">
        <v>0</v>
      </c>
      <c r="I51" t="n">
        <v>0</v>
      </c>
      <c r="J51" t="n">
        <v>992</v>
      </c>
      <c r="K51" t="n">
        <v>0</v>
      </c>
      <c r="L51" t="n">
        <v>1488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Y51">
        <f>SUM(F47:W47)</f>
        <v/>
      </c>
    </row>
    <row r="52">
      <c r="A52" t="inlineStr">
        <is>
          <t>MFP7E10‑N005</t>
        </is>
      </c>
      <c r="B52" t="inlineStr">
        <is>
          <t>MultiMode Fiber  MPO12/APC OM4 Type-B - 5 meter</t>
        </is>
      </c>
      <c r="E52" t="inlineStr">
        <is>
          <t>Cables</t>
        </is>
      </c>
      <c r="F52" t="inlineStr">
        <is>
          <t>N-S Networking</t>
        </is>
      </c>
      <c r="G52" t="n">
        <v>176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Y52">
        <f>SUM(F48:W48)</f>
        <v/>
      </c>
    </row>
    <row r="53">
      <c r="A53" t="inlineStr">
        <is>
          <t>MFP7E30-N050</t>
        </is>
      </c>
      <c r="B53" t="inlineStr">
        <is>
          <t>MPO-12/APC to MPO-12/APC cable, 1310nm SMF OS2, 100m max, 50 M</t>
        </is>
      </c>
      <c r="E53" t="inlineStr">
        <is>
          <t>Cables</t>
        </is>
      </c>
      <c r="F53" t="inlineStr">
        <is>
          <t>N-S Networking</t>
        </is>
      </c>
      <c r="G53" t="n">
        <v>0</v>
      </c>
      <c r="H53" t="n">
        <v>0</v>
      </c>
      <c r="I53" t="n">
        <v>8</v>
      </c>
      <c r="J53" t="n">
        <v>24</v>
      </c>
      <c r="K53" t="n">
        <v>88</v>
      </c>
      <c r="L53" t="n">
        <v>208</v>
      </c>
      <c r="M53" t="n">
        <v>7640</v>
      </c>
      <c r="N53" t="n">
        <v>8</v>
      </c>
      <c r="O53" t="n">
        <v>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>
        <f>SUM(F49:W49)</f>
        <v/>
      </c>
    </row>
    <row r="54">
      <c r="A54" t="inlineStr">
        <is>
          <t>MFP7E40-N050</t>
        </is>
      </c>
      <c r="B54" t="inlineStr">
        <is>
          <t>MPO-12/APC to 2xMPO-12/APC cable, 1310nm SMF OS2, 100m max, 50 M</t>
        </is>
      </c>
      <c r="E54" t="inlineStr">
        <is>
          <t>Cables</t>
        </is>
      </c>
      <c r="F54" t="inlineStr">
        <is>
          <t>N-S Networking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1216</v>
      </c>
      <c r="O54" t="n">
        <v>1120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Y54">
        <f>SUM(F50:W50)</f>
        <v/>
      </c>
    </row>
    <row r="55">
      <c r="A55" t="inlineStr">
        <is>
          <t>MMA4Z00-NS</t>
        </is>
      </c>
      <c r="B55" t="inlineStr">
        <is>
          <t>NVDA XCVR, 800Gbps,2xNDR, OSFP, 2xMPO12 APC, 850nm MMF, up to 50m, finned[MMA4Z00-NS]</t>
        </is>
      </c>
      <c r="C55" t="inlineStr">
        <is>
          <t>980-9I510-00NS00</t>
        </is>
      </c>
      <c r="D55" t="inlineStr">
        <is>
          <t>70HK1</t>
        </is>
      </c>
      <c r="E55" t="inlineStr">
        <is>
          <t>Transceiver</t>
        </is>
      </c>
      <c r="F55" t="inlineStr">
        <is>
          <t>N-S Networking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Y55">
        <f>SUM(F51:W51)</f>
        <v/>
      </c>
    </row>
    <row r="56">
      <c r="A56" t="inlineStr">
        <is>
          <t>MMA4Z00-NS-FLT</t>
        </is>
      </c>
      <c r="B56" t="inlineStr">
        <is>
          <t>NVDA twin port XCVR,800GbE,2x400,IPonly,O112, 2xMPO12 APC,850nm MMF,to 50m,flat top RHS[MMA4Z00-NS-FLT ]</t>
        </is>
      </c>
      <c r="C56" t="inlineStr">
        <is>
          <t>980-9I51A-00NS00</t>
        </is>
      </c>
      <c r="D56" t="inlineStr">
        <is>
          <t>N72T0</t>
        </is>
      </c>
      <c r="E56" t="inlineStr">
        <is>
          <t>Transceiver</t>
        </is>
      </c>
      <c r="F56" t="inlineStr">
        <is>
          <t>N-S Networking</t>
        </is>
      </c>
      <c r="G56" t="n">
        <v>0</v>
      </c>
      <c r="H56" t="n">
        <v>0</v>
      </c>
      <c r="I56" t="n">
        <v>0</v>
      </c>
      <c r="J56" t="n">
        <v>496</v>
      </c>
      <c r="K56" t="n">
        <v>0</v>
      </c>
      <c r="L56" t="n">
        <v>744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Y56">
        <f>SUM(F52:W52)</f>
        <v/>
      </c>
    </row>
    <row r="57">
      <c r="A57" t="inlineStr">
        <is>
          <t>MMA4Z00‑NS</t>
        </is>
      </c>
      <c r="B57" t="inlineStr">
        <is>
          <t>NVDA XCVR, 800Gbps,2xNDR, OSFP, 2xMPO12 APC, 850nm MMF, up to 50m, finned[MMA4Z00-NS]</t>
        </is>
      </c>
      <c r="C57" t="inlineStr">
        <is>
          <t>980-9I510-00NS00</t>
        </is>
      </c>
      <c r="D57" t="inlineStr">
        <is>
          <t>70HK1</t>
        </is>
      </c>
      <c r="E57" t="inlineStr">
        <is>
          <t>Transceiver</t>
        </is>
      </c>
      <c r="F57" t="inlineStr">
        <is>
          <t>N-S Networking</t>
        </is>
      </c>
      <c r="G57" t="n">
        <v>0</v>
      </c>
      <c r="H57" t="n">
        <v>0</v>
      </c>
      <c r="I57" t="n">
        <v>0</v>
      </c>
      <c r="J57" t="n">
        <v>496</v>
      </c>
      <c r="K57" t="n">
        <v>0</v>
      </c>
      <c r="L57" t="n">
        <v>744</v>
      </c>
      <c r="M57" t="n">
        <v>0</v>
      </c>
      <c r="N57" t="n">
        <v>0</v>
      </c>
      <c r="O57" t="n">
        <v>94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Y57">
        <f>SUM(F53:W53)</f>
        <v/>
      </c>
    </row>
    <row r="58">
      <c r="A58" t="inlineStr">
        <is>
          <t>MMA4Z00‑NS-T</t>
        </is>
      </c>
      <c r="B58" t="inlineStr">
        <is>
          <t>NVDA twin port XCVR, 800GbE, 2x400, IPonly,O112, 2xMPO12 APC,850nm MMF,to 50m, finned[MMA4Z00-NS-T]</t>
        </is>
      </c>
      <c r="C58" t="inlineStr">
        <is>
          <t>980-9I510-F4NS00</t>
        </is>
      </c>
      <c r="D58" t="inlineStr">
        <is>
          <t>YWX59</t>
        </is>
      </c>
      <c r="E58" t="inlineStr">
        <is>
          <t>Transceiver</t>
        </is>
      </c>
      <c r="F58" t="inlineStr">
        <is>
          <t>N-S Networking</t>
        </is>
      </c>
      <c r="G58" t="n">
        <v>88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Y58">
        <f>SUM(F54:W54)</f>
        <v/>
      </c>
    </row>
    <row r="59">
      <c r="A59" t="inlineStr">
        <is>
          <t>MMC12/APC SMF</t>
        </is>
      </c>
      <c r="C59" t="inlineStr">
        <is>
          <t>MMC12/APC SMF</t>
        </is>
      </c>
      <c r="E59" t="inlineStr">
        <is>
          <t>Cables</t>
        </is>
      </c>
      <c r="F59" t="inlineStr">
        <is>
          <t>Scale Out Networking</t>
        </is>
      </c>
      <c r="U59" t="n">
        <v>16384</v>
      </c>
      <c r="V59" t="n">
        <v>16384</v>
      </c>
      <c r="W59" t="n">
        <v>34272</v>
      </c>
      <c r="X59" t="n">
        <v>18144</v>
      </c>
      <c r="Y59">
        <f>SUM(F55:W55)</f>
        <v/>
      </c>
    </row>
    <row r="60">
      <c r="A60" t="inlineStr">
        <is>
          <t>MMS1V70-CM</t>
        </is>
      </c>
      <c r="B60" t="inlineStr">
        <is>
          <t>NVDA XCVR, 100GbE, QSFP28, LC, 1310nm, Single Mode 1-lane (DR1), IP[MMS1V70-CM]</t>
        </is>
      </c>
      <c r="C60" t="inlineStr">
        <is>
          <t>980-9I042-00C000</t>
        </is>
      </c>
      <c r="D60" t="inlineStr">
        <is>
          <t>8XTGF</t>
        </is>
      </c>
      <c r="E60" t="inlineStr">
        <is>
          <t>Transceiver</t>
        </is>
      </c>
      <c r="F60" t="inlineStr">
        <is>
          <t>E-W Networking</t>
        </is>
      </c>
      <c r="G60" t="n">
        <v>0</v>
      </c>
      <c r="H60" t="n">
        <v>0</v>
      </c>
      <c r="I60" t="n">
        <v>24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Y60">
        <f>SUM(F56:W56)</f>
        <v/>
      </c>
    </row>
    <row r="61">
      <c r="A61" t="inlineStr">
        <is>
          <t>MMS1X00-NS400</t>
        </is>
      </c>
      <c r="B61" t="inlineStr">
        <is>
          <t>NVDA XCVR400GbE, QSFP112, MPO12 APC, R4, SMF, p to 500m, Flattop (MMS1X00-NS400)</t>
        </is>
      </c>
      <c r="C61" t="inlineStr">
        <is>
          <t>980-9I068-00NM00</t>
        </is>
      </c>
      <c r="D61" t="inlineStr">
        <is>
          <t>6YVDP</t>
        </is>
      </c>
      <c r="E61" t="inlineStr">
        <is>
          <t>Transceiver</t>
        </is>
      </c>
      <c r="F61" t="inlineStr">
        <is>
          <t>N-S Networking</t>
        </is>
      </c>
      <c r="G61" t="n">
        <v>64</v>
      </c>
      <c r="H61" t="n">
        <v>0</v>
      </c>
      <c r="I61" t="n">
        <v>0</v>
      </c>
      <c r="J61" t="n">
        <v>64</v>
      </c>
      <c r="K61" t="n">
        <v>8712</v>
      </c>
      <c r="L61" t="n">
        <v>64</v>
      </c>
      <c r="M61" t="n">
        <v>7260</v>
      </c>
      <c r="N61" t="n">
        <v>640</v>
      </c>
      <c r="O61" t="n">
        <v>192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Y61">
        <f>SUM(F57:W57)</f>
        <v/>
      </c>
    </row>
    <row r="62">
      <c r="A62" t="inlineStr">
        <is>
          <t>MMS1X00-NS400 - 6YVDP</t>
        </is>
      </c>
      <c r="B62" t="inlineStr">
        <is>
          <t>NVDA XCVR400GbE, QSFP112, MPO12 APC, R4, SMF, p to 500m, Flattop (MMS1X00-NS400)</t>
        </is>
      </c>
      <c r="C62" t="inlineStr">
        <is>
          <t>980-9I068-00NM00</t>
        </is>
      </c>
      <c r="D62" t="inlineStr">
        <is>
          <t>6YVDP</t>
        </is>
      </c>
      <c r="E62" t="inlineStr">
        <is>
          <t>Transceiver</t>
        </is>
      </c>
      <c r="F62" t="inlineStr">
        <is>
          <t>N-S Networking</t>
        </is>
      </c>
      <c r="G62" t="n">
        <v>192</v>
      </c>
      <c r="H62" t="n">
        <v>192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Y62">
        <f>SUM(F58:W58)</f>
        <v/>
      </c>
    </row>
    <row r="63">
      <c r="A63" t="inlineStr">
        <is>
          <t>MMS4X00-NM-T</t>
        </is>
      </c>
      <c r="B63" t="inlineStr">
        <is>
          <t>NVDA twin port XCVR, 800GbE,2x400,IPonly,O112,2xMPO12 APC,1310N SMF,to 500m,finned HIS[MMS4X00-NM-T]</t>
        </is>
      </c>
      <c r="C63" t="inlineStr">
        <is>
          <t>980-9I30G-F4NM00</t>
        </is>
      </c>
      <c r="D63" t="inlineStr">
        <is>
          <t>YW1C0</t>
        </is>
      </c>
      <c r="E63" t="inlineStr">
        <is>
          <t>Transceiver</t>
        </is>
      </c>
      <c r="F63" t="inlineStr">
        <is>
          <t>N-S Networking</t>
        </is>
      </c>
      <c r="G63" t="n">
        <v>1240</v>
      </c>
      <c r="H63" t="n">
        <v>360</v>
      </c>
      <c r="I63" t="n">
        <v>0</v>
      </c>
      <c r="J63" t="n">
        <v>1024</v>
      </c>
      <c r="K63" t="n">
        <v>2524</v>
      </c>
      <c r="L63" t="n">
        <v>2320</v>
      </c>
      <c r="M63" t="n">
        <v>2046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Y63">
        <f>SUM(F59:W59)</f>
        <v/>
      </c>
    </row>
    <row r="64">
      <c r="A64" t="inlineStr">
        <is>
          <t>MPO OSFP112-800G-2x400G-2DR4 Twin</t>
        </is>
      </c>
      <c r="C64" t="inlineStr">
        <is>
          <t>MPO OSFP112-800G-2x400G-2DR4 Twin</t>
        </is>
      </c>
      <c r="E64" t="inlineStr">
        <is>
          <t>Transceiver</t>
        </is>
      </c>
      <c r="F64" t="inlineStr">
        <is>
          <t>Scale Out Networking</t>
        </is>
      </c>
      <c r="U64" t="n">
        <v>3148</v>
      </c>
      <c r="V64" t="n">
        <v>3148</v>
      </c>
      <c r="W64" t="n">
        <v>11464</v>
      </c>
      <c r="X64" t="n">
        <v>6460</v>
      </c>
      <c r="Y64">
        <f>SUM(F60:W60)</f>
        <v/>
      </c>
    </row>
    <row r="65">
      <c r="A65" t="inlineStr">
        <is>
          <t>MPO OSFP224-1600G-2x800G-2DR4 Twin RHS</t>
        </is>
      </c>
      <c r="C65" t="inlineStr">
        <is>
          <t>MPO OSFP224-1600G-2x800G-2DR4 Twin RHS</t>
        </is>
      </c>
      <c r="E65" t="inlineStr">
        <is>
          <t>Transceiver</t>
        </is>
      </c>
      <c r="F65" t="inlineStr">
        <is>
          <t>Scale Out Networking</t>
        </is>
      </c>
      <c r="U65" t="n">
        <v>8064</v>
      </c>
      <c r="V65" t="n">
        <v>8064</v>
      </c>
      <c r="W65" t="n">
        <v>17136</v>
      </c>
      <c r="X65" t="n">
        <v>9072</v>
      </c>
      <c r="Y65">
        <f>SUM(F61:W61)</f>
        <v/>
      </c>
    </row>
    <row r="66">
      <c r="A66" t="inlineStr">
        <is>
          <t>MPO QSFP112-400G-DR4</t>
        </is>
      </c>
      <c r="C66" t="inlineStr">
        <is>
          <t>MPO QSFP112-400G-DR4</t>
        </is>
      </c>
      <c r="E66" t="inlineStr">
        <is>
          <t>Cables</t>
        </is>
      </c>
      <c r="F66" t="inlineStr">
        <is>
          <t>Scale Out Networking</t>
        </is>
      </c>
      <c r="U66" t="n">
        <v>4092</v>
      </c>
      <c r="V66" t="n">
        <v>4092</v>
      </c>
      <c r="W66" t="n">
        <v>8628</v>
      </c>
      <c r="X66" t="n">
        <v>4760</v>
      </c>
      <c r="Y66">
        <f>SUM(F62:W62)</f>
        <v/>
      </c>
    </row>
    <row r="67">
      <c r="A67" t="inlineStr">
        <is>
          <t>MPO QSFP56DD-400G-DR4</t>
        </is>
      </c>
      <c r="C67" t="inlineStr">
        <is>
          <t>MPO QSFP56DD-400G-DR4</t>
        </is>
      </c>
      <c r="E67" t="inlineStr">
        <is>
          <t>Cables</t>
        </is>
      </c>
      <c r="F67" t="inlineStr">
        <is>
          <t>Scale Out Networking</t>
        </is>
      </c>
      <c r="U67" t="n">
        <v>200</v>
      </c>
      <c r="V67" t="n">
        <v>200</v>
      </c>
      <c r="W67" t="n">
        <v>398</v>
      </c>
      <c r="X67" t="n">
        <v>230</v>
      </c>
      <c r="Y67">
        <f>SUM(F63:W63)</f>
        <v/>
      </c>
    </row>
    <row r="68">
      <c r="A68" t="inlineStr">
        <is>
          <t>MPO12/APC SMF</t>
        </is>
      </c>
      <c r="C68" t="inlineStr">
        <is>
          <t>MPO12/APC SMF</t>
        </is>
      </c>
      <c r="E68" t="inlineStr">
        <is>
          <t>Cables</t>
        </is>
      </c>
      <c r="F68" t="inlineStr">
        <is>
          <t>Scale Out Networking</t>
        </is>
      </c>
      <c r="U68" t="n">
        <v>5164</v>
      </c>
      <c r="V68" t="n">
        <v>5164</v>
      </c>
      <c r="W68" t="n">
        <v>15748</v>
      </c>
      <c r="X68" t="n">
        <v>8468</v>
      </c>
      <c r="Y68">
        <f>SUM(F64:W64)</f>
        <v/>
      </c>
    </row>
    <row r="69">
      <c r="A69" t="inlineStr">
        <is>
          <t>MPO12/APC SMF Jumper</t>
        </is>
      </c>
      <c r="C69" t="inlineStr">
        <is>
          <t>MPO12/APC SMF Jumper</t>
        </is>
      </c>
      <c r="E69" t="inlineStr">
        <is>
          <t>Cables</t>
        </is>
      </c>
      <c r="F69" t="inlineStr">
        <is>
          <t>Scale Out Networking</t>
        </is>
      </c>
      <c r="U69" t="n">
        <v>16128</v>
      </c>
      <c r="Y69">
        <f>SUM(F65:W65)</f>
        <v/>
      </c>
    </row>
    <row r="70">
      <c r="A70" t="inlineStr">
        <is>
          <t>MPO12/APC-2MPO12/APC SMF</t>
        </is>
      </c>
      <c r="C70" t="inlineStr">
        <is>
          <t>MPO12/APC-2MPO12/APC SMF</t>
        </is>
      </c>
      <c r="E70" t="inlineStr">
        <is>
          <t>Cables</t>
        </is>
      </c>
      <c r="F70" t="inlineStr">
        <is>
          <t>Scale Out Networking</t>
        </is>
      </c>
      <c r="U70" t="n">
        <v>30</v>
      </c>
      <c r="V70" t="n">
        <v>30</v>
      </c>
      <c r="W70" t="n">
        <v>30</v>
      </c>
      <c r="X70" t="n">
        <v>112</v>
      </c>
      <c r="Y70">
        <f>SUM(F66:W66)</f>
        <v/>
      </c>
    </row>
    <row r="71">
      <c r="A71" t="inlineStr">
        <is>
          <t>MPO12/APC-4LC SMF</t>
        </is>
      </c>
      <c r="C71" t="inlineStr">
        <is>
          <t>MPO12/APC-4LC SMF</t>
        </is>
      </c>
      <c r="E71" t="inlineStr">
        <is>
          <t>Cables</t>
        </is>
      </c>
      <c r="F71" t="inlineStr">
        <is>
          <t>Scale Out Networking</t>
        </is>
      </c>
      <c r="U71" t="n">
        <v>184</v>
      </c>
      <c r="V71" t="n">
        <v>184</v>
      </c>
      <c r="W71" t="n">
        <v>382</v>
      </c>
      <c r="X71" t="n">
        <v>214</v>
      </c>
      <c r="Y71">
        <f>SUM(F67:W67)</f>
        <v/>
      </c>
    </row>
    <row r="72">
      <c r="A72" t="inlineStr">
        <is>
          <t>MPO12/APC-MMC12/APC SMF</t>
        </is>
      </c>
      <c r="C72" t="inlineStr">
        <is>
          <t>MPO12/APC-MMC12/APC SMF</t>
        </is>
      </c>
      <c r="E72" t="inlineStr">
        <is>
          <t>Cables</t>
        </is>
      </c>
      <c r="F72" t="inlineStr">
        <is>
          <t>Scale Out Networking</t>
        </is>
      </c>
      <c r="U72" t="n">
        <v>16128</v>
      </c>
      <c r="V72" t="n">
        <v>16128</v>
      </c>
      <c r="W72" t="n">
        <v>34272</v>
      </c>
      <c r="X72" t="n">
        <v>18144</v>
      </c>
      <c r="Y72">
        <f>SUM(F68:W68)</f>
        <v/>
      </c>
    </row>
    <row r="73">
      <c r="A73" t="inlineStr">
        <is>
          <t>NFM93</t>
        </is>
      </c>
      <c r="B73" t="inlineStr">
        <is>
          <t>MOD,CBL,MPO12-2MPO4,SMF,30M</t>
        </is>
      </c>
      <c r="E73" t="inlineStr">
        <is>
          <t>Cables</t>
        </is>
      </c>
      <c r="F73" t="inlineStr">
        <is>
          <t>N-S Networking</t>
        </is>
      </c>
      <c r="G73" t="n">
        <v>96</v>
      </c>
      <c r="H73" t="n">
        <v>192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Y73">
        <f>SUM(F69:W69)</f>
        <v/>
      </c>
    </row>
    <row r="74">
      <c r="A74" t="inlineStr">
        <is>
          <t>PDU</t>
        </is>
      </c>
      <c r="C74" t="inlineStr">
        <is>
          <t>PDU</t>
        </is>
      </c>
      <c r="E74" t="inlineStr">
        <is>
          <t>Other</t>
        </is>
      </c>
      <c r="F74" t="inlineStr">
        <is>
          <t>Scale Out Networking</t>
        </is>
      </c>
      <c r="U74" t="n">
        <v>56</v>
      </c>
      <c r="V74" t="n">
        <v>56</v>
      </c>
      <c r="W74" t="n">
        <v>100</v>
      </c>
      <c r="X74" t="n">
        <v>64</v>
      </c>
      <c r="Y74">
        <f>SUM(F70:W70)</f>
        <v/>
      </c>
    </row>
    <row r="75">
      <c r="A75" t="inlineStr">
        <is>
          <t>PDU 3Ph, 415V, 60A</t>
        </is>
      </c>
      <c r="B75" t="inlineStr">
        <is>
          <t>3PH, 415V, 60A, 560P6, 42 Outlet</t>
        </is>
      </c>
      <c r="E75" t="inlineStr">
        <is>
          <t>Rack</t>
        </is>
      </c>
      <c r="F75" t="inlineStr">
        <is>
          <t>Racks, PDUs and CDUs</t>
        </is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Y75">
        <f>SUM(F71:W71)</f>
        <v/>
      </c>
    </row>
    <row r="76">
      <c r="A76" t="inlineStr">
        <is>
          <t>PDU per Aircool AC Rack</t>
        </is>
      </c>
      <c r="C76" t="inlineStr">
        <is>
          <t>PDU per Aircool AC Rack</t>
        </is>
      </c>
      <c r="E76" t="inlineStr">
        <is>
          <t>Other</t>
        </is>
      </c>
      <c r="F76" t="inlineStr">
        <is>
          <t>Scale Out Networking</t>
        </is>
      </c>
      <c r="U76" t="n">
        <v>2</v>
      </c>
      <c r="V76" t="n">
        <v>2</v>
      </c>
      <c r="W76" t="n">
        <v>2</v>
      </c>
      <c r="X76" t="n">
        <v>2</v>
      </c>
      <c r="Y76">
        <f>SUM(F72:W72)</f>
        <v/>
      </c>
    </row>
    <row r="77">
      <c r="A77" t="inlineStr">
        <is>
          <t>PS</t>
        </is>
      </c>
      <c r="C77" t="inlineStr">
        <is>
          <t>PS</t>
        </is>
      </c>
      <c r="E77" t="inlineStr">
        <is>
          <t>Other</t>
        </is>
      </c>
      <c r="F77" t="inlineStr">
        <is>
          <t>Scale Out Networking</t>
        </is>
      </c>
      <c r="U77" t="n">
        <v>192</v>
      </c>
      <c r="V77" t="n">
        <v>96</v>
      </c>
      <c r="W77" t="n">
        <v>208</v>
      </c>
      <c r="X77" t="n">
        <v>144</v>
      </c>
      <c r="Y77">
        <f>SUM(F73:W73)</f>
        <v/>
      </c>
    </row>
    <row r="78">
      <c r="A78" t="inlineStr">
        <is>
          <t>PS per DLC DC Rack</t>
        </is>
      </c>
      <c r="C78" t="inlineStr">
        <is>
          <t>PS per DLC DC Rack</t>
        </is>
      </c>
      <c r="E78" t="inlineStr">
        <is>
          <t>Other</t>
        </is>
      </c>
      <c r="F78" t="inlineStr">
        <is>
          <t>Scale Out Networking</t>
        </is>
      </c>
      <c r="U78" t="n">
        <v>4</v>
      </c>
      <c r="V78" t="n">
        <v>4</v>
      </c>
      <c r="W78" t="n">
        <v>4</v>
      </c>
      <c r="X78" t="n">
        <v>4</v>
      </c>
      <c r="Y78">
        <f>SUM(F74:W74)</f>
        <v/>
      </c>
    </row>
    <row r="79">
      <c r="A79" t="inlineStr">
        <is>
          <t>SN2201 , 1U , C2P</t>
        </is>
      </c>
      <c r="B79" t="inlineStr">
        <is>
          <t>48 × RJ45 10/100/1000BASE‑T ports PLUS 4 × QSFP28 ports (can be used as 4×100 GbE, or broken out to lower speeds like 4×25 GbE, etc.)</t>
        </is>
      </c>
      <c r="E79" t="inlineStr">
        <is>
          <t>Cables</t>
        </is>
      </c>
      <c r="F79" t="inlineStr">
        <is>
          <t>OOB Networking</t>
        </is>
      </c>
      <c r="G79" t="n">
        <v>20</v>
      </c>
      <c r="H79" t="n">
        <v>195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Y79">
        <f>SUM(F75:W75)</f>
        <v/>
      </c>
    </row>
    <row r="80">
      <c r="A80" t="inlineStr">
        <is>
          <t>SN2201 AC</t>
        </is>
      </c>
      <c r="C80" t="inlineStr">
        <is>
          <t>SN2201 AC</t>
        </is>
      </c>
      <c r="E80" t="inlineStr">
        <is>
          <t>Other</t>
        </is>
      </c>
      <c r="F80" t="inlineStr">
        <is>
          <t>Scale Out Networking</t>
        </is>
      </c>
      <c r="U80" t="n">
        <v>90</v>
      </c>
      <c r="V80" t="n">
        <v>90</v>
      </c>
      <c r="W80" t="n">
        <v>187</v>
      </c>
      <c r="X80" t="n">
        <v>115</v>
      </c>
      <c r="Y80">
        <f>SUM(F76:W76)</f>
        <v/>
      </c>
    </row>
    <row r="81">
      <c r="A81" t="inlineStr">
        <is>
          <t>SN4700</t>
        </is>
      </c>
      <c r="C81" t="inlineStr">
        <is>
          <t>SN4700</t>
        </is>
      </c>
      <c r="E81" t="inlineStr">
        <is>
          <t>Other</t>
        </is>
      </c>
      <c r="F81" t="inlineStr">
        <is>
          <t>Scale Out Networking</t>
        </is>
      </c>
      <c r="U81" t="n">
        <v>24</v>
      </c>
      <c r="V81" t="n">
        <v>24</v>
      </c>
      <c r="W81" t="n">
        <v>42</v>
      </c>
      <c r="X81" t="n">
        <v>26</v>
      </c>
      <c r="Y81">
        <f>SUM(F77:W77)</f>
        <v/>
      </c>
    </row>
    <row r="82">
      <c r="A82" t="inlineStr">
        <is>
          <t>SN5610</t>
        </is>
      </c>
      <c r="C82" t="inlineStr">
        <is>
          <t>SN5610</t>
        </is>
      </c>
      <c r="E82" t="inlineStr">
        <is>
          <t>Other</t>
        </is>
      </c>
      <c r="F82" t="inlineStr">
        <is>
          <t>Scale Out Networking</t>
        </is>
      </c>
      <c r="U82" t="n">
        <v>86</v>
      </c>
      <c r="V82" t="n">
        <v>86</v>
      </c>
      <c r="W82" t="n">
        <v>230</v>
      </c>
      <c r="X82" t="n">
        <v>134</v>
      </c>
      <c r="Y82">
        <f>SUM(F78:W78)</f>
        <v/>
      </c>
    </row>
    <row r="83">
      <c r="A83" t="inlineStr">
        <is>
          <t>SN6800-LD</t>
        </is>
      </c>
      <c r="C83" t="inlineStr">
        <is>
          <t>SN6800-LD</t>
        </is>
      </c>
      <c r="E83" t="inlineStr">
        <is>
          <t>Switch</t>
        </is>
      </c>
      <c r="F83" t="inlineStr">
        <is>
          <t>Scale Out Networking</t>
        </is>
      </c>
      <c r="V83" t="n">
        <v>96</v>
      </c>
      <c r="W83" t="n">
        <v>208</v>
      </c>
      <c r="X83" t="n">
        <v>144</v>
      </c>
      <c r="Y83">
        <f>SUM(F79:W79)</f>
        <v/>
      </c>
    </row>
    <row r="84">
      <c r="A84" t="inlineStr">
        <is>
          <t>SN6810-LD</t>
        </is>
      </c>
      <c r="C84" t="inlineStr">
        <is>
          <t>SN6810-LD</t>
        </is>
      </c>
      <c r="E84" t="inlineStr">
        <is>
          <t>Switch</t>
        </is>
      </c>
      <c r="F84" t="inlineStr">
        <is>
          <t>Scale Out Networking</t>
        </is>
      </c>
      <c r="U84" t="n">
        <v>384</v>
      </c>
      <c r="Y84">
        <f>SUM(F80:W80)</f>
        <v/>
      </c>
    </row>
    <row r="85">
      <c r="A85" t="inlineStr">
        <is>
          <t>Shuffle 4x4 units</t>
        </is>
      </c>
      <c r="B85" t="inlineStr">
        <is>
          <t>CommScope</t>
        </is>
      </c>
      <c r="E85" t="inlineStr">
        <is>
          <t>Rack</t>
        </is>
      </c>
      <c r="F85" t="inlineStr">
        <is>
          <t>Patch Panels / Shuffle Components</t>
        </is>
      </c>
      <c r="G85" t="n">
        <v>0</v>
      </c>
      <c r="H85" t="n">
        <v>0</v>
      </c>
      <c r="I85" t="n">
        <v>144</v>
      </c>
      <c r="J85" t="n">
        <v>0</v>
      </c>
      <c r="K85" t="n">
        <v>18288</v>
      </c>
      <c r="L85" t="n">
        <v>0</v>
      </c>
      <c r="M85" t="n">
        <v>7560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Y85">
        <f>SUM(F81:W81)</f>
        <v/>
      </c>
    </row>
    <row r="86">
      <c r="A86" t="inlineStr">
        <is>
          <t>T1-NtwkRack</t>
        </is>
      </c>
      <c r="C86" t="inlineStr">
        <is>
          <t>T1-NtwkRack</t>
        </is>
      </c>
      <c r="E86" t="inlineStr">
        <is>
          <t>Other</t>
        </is>
      </c>
      <c r="F86" t="inlineStr">
        <is>
          <t>Scale Out Networking</t>
        </is>
      </c>
      <c r="U86" t="n">
        <v>32</v>
      </c>
      <c r="Y86">
        <f>SUM(F82:W82)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"/>
  <sheetViews>
    <sheetView topLeftCell="O1" workbookViewId="0">
      <selection activeCell="A1" sqref="A1"/>
    </sheetView>
  </sheetViews>
  <sheetFormatPr baseColWidth="8" defaultRowHeight="14.4"/>
  <cols>
    <col width="20" customWidth="1" min="1" max="24"/>
  </cols>
  <sheetData>
    <row r="1">
      <c r="A1" t="inlineStr">
        <is>
          <t>Model/PN</t>
        </is>
      </c>
      <c r="B1" t="inlineStr">
        <is>
          <t>Description</t>
        </is>
      </c>
      <c r="C1" t="inlineStr">
        <is>
          <t>NVIDIA Generic Part number</t>
        </is>
      </c>
      <c r="D1" t="inlineStr">
        <is>
          <t>Dell PN</t>
        </is>
      </c>
      <c r="E1" t="inlineStr">
        <is>
          <t>Category</t>
        </is>
      </c>
      <c r="F1" t="inlineStr">
        <is>
          <t>Section</t>
        </is>
      </c>
      <c r="G1" t="inlineStr">
        <is>
          <t>BOM - NETWORK - 2026-08-24- IREN -  512 Racks -(B300) - Mackenzie - 512 GPU Storage Testing [Locked]_UNLOCKED.xlsx</t>
        </is>
      </c>
      <c r="H1" t="inlineStr">
        <is>
          <t>BOM - NETWORK - 2026-09-023 - IREN -  256 Racks - 8192-GPU (B300)_GOLDEN.xlsx</t>
        </is>
      </c>
      <c r="I1" t="inlineStr">
        <is>
          <t>BOM - NETWORK - 2026-09-04- IREN - PS - VR72 4x Test Racks [Quote]_UNLOCKED.xlsx</t>
        </is>
      </c>
      <c r="J1" t="inlineStr">
        <is>
          <t>BOM - NETWORK - 2026-09-11- IREN - 50MW 252 Racks - Sweetwater VR NVL72_SN6600-LD_CORE [Quoted]_UNLOCKED.xlsx</t>
        </is>
      </c>
      <c r="K1" t="inlineStr">
        <is>
          <t>BOM - NETWORK - 2026-09-11- IREN - 50MW 252 Racks - Sweetwater VR NVL72_SN6600-LD_DH [Quoted]_UNLOCKED.xlsx</t>
        </is>
      </c>
      <c r="L1" t="inlineStr">
        <is>
          <t>BOM - NETWORK - 2026-09-15- IREN CHLD_HORIZON_210 Racks - VR NVL72_SN6600-LD_Core-GOLDEN [Quoting]_UNLOCKED.xlsx</t>
        </is>
      </c>
      <c r="M1" t="inlineStr">
        <is>
          <t>BOM - NETWORK - 2026-09-15- IREN CHLD_HORIZON_210 Racks - VR NVL72_SN6600-LD_DH_GOLDEN [Quoting]_UNLOCKED.xlsx</t>
        </is>
      </c>
      <c r="N1" t="inlineStr">
        <is>
          <t>BOM - NETWORK - 2026-09-23 - IREN -  256 Racks - 8192-GPU (B200).xlsx</t>
        </is>
      </c>
      <c r="O1" t="inlineStr">
        <is>
          <t>BOM - NETWORK - 2026-09-23 - IREN -  B4-5 256 Racks - 8192-GPU (B200).xlsx</t>
        </is>
      </c>
      <c r="P1" t="inlineStr">
        <is>
          <t>PNL-NETWORK BOM-2026-09-23-Anthropic-Australia_Q1_Q2-21k GPUs VR NVL72.xlsx</t>
        </is>
      </c>
      <c r="Q1" t="inlineStr">
        <is>
          <t>PNL-NETWORK BOM-2026-09-23-Anthropic-Canada_Q2-32k GPUs VR NVL72.xlsx</t>
        </is>
      </c>
      <c r="R1" t="inlineStr">
        <is>
          <t>PNL-NETWORK BOM-2026-09-24-Anthropic-US-Q1-Q2-Cluster1-129k GPUs VR NVL72.xlsx</t>
        </is>
      </c>
      <c r="S1" t="inlineStr">
        <is>
          <t>PNL-NETWORK BOM-2026-09-24-Anthropic-US-Q1-Q2-Cluster2-129k GPUs VR NVL72.xlsx</t>
        </is>
      </c>
      <c r="T1" t="inlineStr">
        <is>
          <t>PNL-NETWORK BOM-2026-09-25-Anthropic-US_Q1_Q2-Cluster3-9k GPUs VR NVL72.xlsx</t>
        </is>
      </c>
      <c r="U1" t="inlineStr">
        <is>
          <t>NScale - NETWORK BOM - Narvik-8k-6810.xlsx</t>
        </is>
      </c>
      <c r="V1" t="inlineStr">
        <is>
          <t>NScale - NETWORK BOM - Narvik-8k-6810.xlsx</t>
        </is>
      </c>
      <c r="W1" t="inlineStr">
        <is>
          <t>NScale - NETWORK BOM - Narvik-8k.xlsx</t>
        </is>
      </c>
      <c r="X1" t="inlineStr">
        <is>
          <t>NScale - NETWORK BOM - Narvik-17k.xlsx</t>
        </is>
      </c>
      <c r="Y1" t="inlineStr">
        <is>
          <t>NScale - NETWORK BOM - US-TBD-18k.xlsx</t>
        </is>
      </c>
    </row>
    <row r="2">
      <c r="A2" t="inlineStr">
        <is>
          <t>Customer</t>
        </is>
      </c>
      <c r="G2" t="inlineStr">
        <is>
          <t>IREN</t>
        </is>
      </c>
      <c r="H2" t="inlineStr">
        <is>
          <t>IREN</t>
        </is>
      </c>
      <c r="I2" t="inlineStr">
        <is>
          <t>IREN</t>
        </is>
      </c>
      <c r="J2" t="inlineStr">
        <is>
          <t>IREN</t>
        </is>
      </c>
      <c r="K2" t="inlineStr">
        <is>
          <t>IREN</t>
        </is>
      </c>
      <c r="L2" t="inlineStr">
        <is>
          <t>IREN</t>
        </is>
      </c>
      <c r="M2" t="inlineStr">
        <is>
          <t>IREN</t>
        </is>
      </c>
      <c r="N2" t="inlineStr">
        <is>
          <t>IREN</t>
        </is>
      </c>
      <c r="O2" t="inlineStr">
        <is>
          <t>IREN</t>
        </is>
      </c>
      <c r="P2" t="inlineStr">
        <is>
          <t>Anthropic</t>
        </is>
      </c>
      <c r="Q2" t="inlineStr">
        <is>
          <t>Anthropic</t>
        </is>
      </c>
      <c r="R2" t="inlineStr">
        <is>
          <t>Anthropic</t>
        </is>
      </c>
      <c r="S2" t="inlineStr">
        <is>
          <t>Anthropic</t>
        </is>
      </c>
      <c r="T2" t="inlineStr">
        <is>
          <t>Anthropic</t>
        </is>
      </c>
      <c r="U2" t="inlineStr">
        <is>
          <t>NScale</t>
        </is>
      </c>
      <c r="V2" t="inlineStr">
        <is>
          <t>NScale</t>
        </is>
      </c>
      <c r="W2" t="inlineStr">
        <is>
          <t>NScale</t>
        </is>
      </c>
      <c r="X2" t="inlineStr">
        <is>
          <t>NScale</t>
        </is>
      </c>
      <c r="Y2" t="inlineStr">
        <is>
          <t>NScale</t>
        </is>
      </c>
    </row>
    <row r="3">
      <c r="A3" t="inlineStr">
        <is>
          <t>Location</t>
        </is>
      </c>
      <c r="G3" t="inlineStr">
        <is>
          <t>Childress, Tx</t>
        </is>
      </c>
      <c r="H3" t="inlineStr">
        <is>
          <t>Childress, Tx</t>
        </is>
      </c>
      <c r="I3" t="inlineStr">
        <is>
          <t>Prince George</t>
        </is>
      </c>
      <c r="J3" t="inlineStr">
        <is>
          <t>Sweetwater</t>
        </is>
      </c>
      <c r="K3" t="inlineStr">
        <is>
          <t>Sweetwater</t>
        </is>
      </c>
      <c r="L3" t="inlineStr">
        <is>
          <t>Childress, Tx</t>
        </is>
      </c>
      <c r="M3" t="inlineStr">
        <is>
          <t>Childress, Tx</t>
        </is>
      </c>
      <c r="N3" t="inlineStr">
        <is>
          <t>Childress, Tx</t>
        </is>
      </c>
      <c r="O3" t="inlineStr">
        <is>
          <t>Childress, Tx</t>
        </is>
      </c>
      <c r="P3" t="inlineStr">
        <is>
          <t>Australia</t>
        </is>
      </c>
      <c r="Q3" t="inlineStr">
        <is>
          <t>Canada</t>
        </is>
      </c>
      <c r="R3" t="inlineStr">
        <is>
          <t>US-Cluster1</t>
        </is>
      </c>
      <c r="S3" t="inlineStr">
        <is>
          <t>US-Cluster2</t>
        </is>
      </c>
      <c r="T3" t="inlineStr">
        <is>
          <t>US-Cluster3</t>
        </is>
      </c>
      <c r="U3" t="inlineStr">
        <is>
          <t>Narvik-8k-6810</t>
        </is>
      </c>
      <c r="V3" t="inlineStr">
        <is>
          <t>Narvik-8k-6810</t>
        </is>
      </c>
      <c r="W3" t="inlineStr">
        <is>
          <t>Narvik-8k</t>
        </is>
      </c>
      <c r="X3" t="inlineStr">
        <is>
          <t>Narvik-17k</t>
        </is>
      </c>
      <c r="Y3" t="inlineStr">
        <is>
          <t>US-TBD-18k</t>
        </is>
      </c>
    </row>
    <row r="4">
      <c r="A4" t="inlineStr">
        <is>
          <t># of Bldg</t>
        </is>
      </c>
    </row>
    <row r="5">
      <c r="A5" t="inlineStr">
        <is>
          <t>Focus ID</t>
        </is>
      </c>
    </row>
    <row r="6">
      <c r="A6" t="inlineStr">
        <is>
          <t>SFDC ID</t>
        </is>
      </c>
    </row>
    <row r="7">
      <c r="A7" t="inlineStr">
        <is>
          <t>Target Start Date</t>
        </is>
      </c>
    </row>
    <row r="8">
      <c r="A8" t="inlineStr">
        <is>
          <t>Target End Date</t>
        </is>
      </c>
    </row>
    <row r="9">
      <c r="A9" t="inlineStr">
        <is>
          <t>470-ABGH</t>
        </is>
      </c>
      <c r="B9" t="inlineStr">
        <is>
          <t>CBL-MPO12-4LC-SM-5M</t>
        </is>
      </c>
      <c r="E9" t="inlineStr">
        <is>
          <t>Cables</t>
        </is>
      </c>
      <c r="G9" t="n">
        <v>92</v>
      </c>
      <c r="H9" t="n">
        <v>0</v>
      </c>
      <c r="I9" t="n">
        <v>0</v>
      </c>
      <c r="J9" t="n">
        <v>16</v>
      </c>
      <c r="K9" t="n">
        <v>360</v>
      </c>
      <c r="L9" t="n">
        <v>32</v>
      </c>
      <c r="M9" t="n">
        <v>128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Y9">
        <f>SUM(F5:W5)</f>
        <v/>
      </c>
    </row>
    <row r="10">
      <c r="A10" t="inlineStr">
        <is>
          <t>920-9N110-00F1-0C0</t>
        </is>
      </c>
      <c r="B10" t="inlineStr">
        <is>
          <t>NVDA SN2201 48x1GBaseT, 1U, 2AC PSU, P2C (P/I) Airflow, w/ Cumulus[MSN2201-CB2FC]</t>
        </is>
      </c>
      <c r="C10" t="inlineStr">
        <is>
          <t>920-9N110-00F1-0C0</t>
        </is>
      </c>
      <c r="D10" t="inlineStr">
        <is>
          <t>FTV62</t>
        </is>
      </c>
      <c r="E10" t="inlineStr">
        <is>
          <t>Switch</t>
        </is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Y10">
        <f>SUM(F6:W6)</f>
        <v/>
      </c>
    </row>
    <row r="11">
      <c r="A11" t="inlineStr">
        <is>
          <t>920-9N110-00R1- 0C0</t>
        </is>
      </c>
      <c r="B11" t="inlineStr">
        <is>
          <t>NVDA SN2201 48x1GBaseT, 1U, 2AC PSU, C2P (I/P) Airflow, w/ Cumulus[MSN2201-CB2RC]</t>
        </is>
      </c>
      <c r="C11" t="inlineStr">
        <is>
          <t>920-9N110-00R1-0C0</t>
        </is>
      </c>
      <c r="D11" t="inlineStr">
        <is>
          <t>TX78X</t>
        </is>
      </c>
      <c r="E11" t="inlineStr">
        <is>
          <t>Switch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205</v>
      </c>
      <c r="O11" t="n">
        <v>198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Y11">
        <f>SUM(F7:W7)</f>
        <v/>
      </c>
    </row>
    <row r="12">
      <c r="A12" t="inlineStr">
        <is>
          <t>920-9N110-00R1-NC0</t>
        </is>
      </c>
      <c r="B12" t="inlineStr">
        <is>
          <t>SN2201 48x1G + 4x100G, DC Busbar Air Cooled</t>
        </is>
      </c>
      <c r="C12" t="inlineStr">
        <is>
          <t>920-9N110-00R1-NC0</t>
        </is>
      </c>
      <c r="D12" t="inlineStr">
        <is>
          <t>J2MV9</t>
        </is>
      </c>
      <c r="E12" t="inlineStr">
        <is>
          <t>Switch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116</v>
      </c>
      <c r="Q12" t="n">
        <v>160</v>
      </c>
      <c r="R12" t="n">
        <v>764</v>
      </c>
      <c r="S12" t="n">
        <v>764</v>
      </c>
      <c r="T12" t="n">
        <v>52</v>
      </c>
      <c r="Y12">
        <f>SUM(F8:W8)</f>
        <v/>
      </c>
    </row>
    <row r="13">
      <c r="A13" t="inlineStr">
        <is>
          <t>920-9N110-01R1-NC0 (DPN: J2MV9)</t>
        </is>
      </c>
      <c r="B13" t="inlineStr">
        <is>
          <t>NVDA SN2201 48x1G (BT), 2AC PSU, C2P (I/P) Airflow, w/ BusBar, w/ Cumulus[MSN2201-CSMRC]</t>
        </is>
      </c>
      <c r="C13" t="inlineStr">
        <is>
          <t>920-9N110-00R1-NC0</t>
        </is>
      </c>
      <c r="D13" t="inlineStr">
        <is>
          <t>J2MV9</t>
        </is>
      </c>
      <c r="E13" t="inlineStr">
        <is>
          <t>Switch</t>
        </is>
      </c>
      <c r="G13" t="n">
        <v>0</v>
      </c>
      <c r="H13" t="n">
        <v>0</v>
      </c>
      <c r="I13" t="n">
        <v>8</v>
      </c>
      <c r="J13" t="n">
        <v>21</v>
      </c>
      <c r="K13" t="n">
        <v>92</v>
      </c>
      <c r="L13" t="n">
        <v>28</v>
      </c>
      <c r="M13" t="n">
        <v>75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Y13">
        <f>SUM(F9:W9)</f>
        <v/>
      </c>
    </row>
    <row r="14">
      <c r="A14" t="inlineStr">
        <is>
          <t>920-9N301-00RB-0C0</t>
        </is>
      </c>
      <c r="B14" t="inlineStr">
        <is>
          <t>NVDA SN4700 400GbE, 32xQSFPDD, 1U, 2AC PSU, C2P (I/P) Airflow, w/ Cumulus[MSN4700-WS2RC]</t>
        </is>
      </c>
      <c r="C14" t="inlineStr">
        <is>
          <t>920-9N301-00RB-0C0</t>
        </is>
      </c>
      <c r="D14" t="inlineStr">
        <is>
          <t>7F0JN</t>
        </is>
      </c>
      <c r="E14" t="inlineStr">
        <is>
          <t>Switch</t>
        </is>
      </c>
      <c r="G14" t="n">
        <v>2</v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4</v>
      </c>
      <c r="P14" t="n">
        <v>6</v>
      </c>
      <c r="Q14" t="n">
        <v>6</v>
      </c>
      <c r="R14" t="n">
        <v>8</v>
      </c>
      <c r="S14" t="n">
        <v>8</v>
      </c>
      <c r="T14" t="n">
        <v>6</v>
      </c>
      <c r="Y14">
        <f>SUM(F10:W10)</f>
        <v/>
      </c>
    </row>
    <row r="15">
      <c r="A15" t="inlineStr">
        <is>
          <t>920-9N301-00RB-NC0</t>
        </is>
      </c>
      <c r="B15" t="inlineStr">
        <is>
          <t>SN4700D, Spectrum-3 based 400GbE 1U Open Ethernet Switch, 32 QSFPDD ports, 48VDC Busbar, x86 CPU, standard depth, C2P airflow, Rail Kit, with Cumulus</t>
        </is>
      </c>
      <c r="C15" t="inlineStr">
        <is>
          <t>920-9N301-00RB-NC0</t>
        </is>
      </c>
      <c r="E15" t="inlineStr">
        <is>
          <t>Switch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</v>
      </c>
      <c r="Q15" t="n">
        <v>64</v>
      </c>
      <c r="R15" t="n">
        <v>256</v>
      </c>
      <c r="S15" t="n">
        <v>256</v>
      </c>
      <c r="T15" t="n">
        <v>18</v>
      </c>
      <c r="Y15">
        <f>SUM(F11:W11)</f>
        <v/>
      </c>
    </row>
    <row r="16">
      <c r="A16" t="inlineStr">
        <is>
          <t>920-9N42F-00RI-3C1</t>
        </is>
      </c>
      <c r="B16" t="inlineStr">
        <is>
          <t>NVDA SN5610 2U 64xOSFP112, 4xAC PSU, C2P (I/P) Airflow, w/ Cumulus[MSN5610???]</t>
        </is>
      </c>
      <c r="C16" t="inlineStr">
        <is>
          <t>920-9N42F-00RI-3C1</t>
        </is>
      </c>
      <c r="D16" t="inlineStr">
        <is>
          <t>52MJM</t>
        </is>
      </c>
      <c r="E16" t="inlineStr">
        <is>
          <t>Switch</t>
        </is>
      </c>
      <c r="G16" t="n">
        <v>46</v>
      </c>
      <c r="H16" t="n">
        <v>428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Y16">
        <f>SUM(F12:W12)</f>
        <v/>
      </c>
    </row>
    <row r="17">
      <c r="A17" t="inlineStr">
        <is>
          <t>920-9N42F-00RI-KC0</t>
        </is>
      </c>
      <c r="B17" t="inlineStr">
        <is>
          <t>NVDA SN5600D 2U 64xOSFP112, DC BusBar, C2P (I/P) Airflow, w/ Cumulus[MSN5600D???]</t>
        </is>
      </c>
      <c r="C17" t="inlineStr">
        <is>
          <t>920-9N42F-00RI-KC0</t>
        </is>
      </c>
      <c r="D17" t="inlineStr">
        <is>
          <t>CTT0V</t>
        </is>
      </c>
      <c r="E17" t="inlineStr">
        <is>
          <t>Switch</t>
        </is>
      </c>
      <c r="G17" t="n">
        <v>0</v>
      </c>
      <c r="H17" t="n">
        <v>0</v>
      </c>
      <c r="I17" t="n">
        <v>0</v>
      </c>
      <c r="J17" t="n">
        <v>70</v>
      </c>
      <c r="K17" t="n">
        <v>338</v>
      </c>
      <c r="L17" t="n">
        <v>94</v>
      </c>
      <c r="M17" t="n">
        <v>280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Y17">
        <f>SUM(F13:W13)</f>
        <v/>
      </c>
    </row>
    <row r="18">
      <c r="A18" t="inlineStr">
        <is>
          <t>920-9N62F-00LI-GC1</t>
        </is>
      </c>
      <c r="B18" t="inlineStr">
        <is>
          <t>SN6600-LD - NVIDIA Spectrum-6 based 800GbE Ethernet switch with Cumulus Linux Authentication, 64 OSFP, 1 QSFP112, 48VDC Busbar, 8-Cores CPU, Secure-boot, Liquid-Cooling, Rail-Kit.</t>
        </is>
      </c>
      <c r="C18" t="inlineStr">
        <is>
          <t>920-9N62F-00LI-GC1</t>
        </is>
      </c>
      <c r="D18" t="inlineStr">
        <is>
          <t>3KF5K</t>
        </is>
      </c>
      <c r="E18" t="inlineStr">
        <is>
          <t>Switch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1176</v>
      </c>
      <c r="Q18" t="n">
        <v>1528</v>
      </c>
      <c r="R18" t="n">
        <v>6112</v>
      </c>
      <c r="S18" t="n">
        <v>6112</v>
      </c>
      <c r="T18" t="n">
        <v>544</v>
      </c>
      <c r="Y18">
        <f>SUM(F14:W14)</f>
        <v/>
      </c>
    </row>
    <row r="19">
      <c r="A19" t="inlineStr">
        <is>
          <t>980-9I042-00C000</t>
        </is>
      </c>
      <c r="B19" t="inlineStr">
        <is>
          <t>NVDA XCVR, 100GbE, QSFP28, LC, 1310nm, Single Mode 1-lane (DR1), IP[MMS1V70-CM]</t>
        </is>
      </c>
      <c r="C19" t="inlineStr">
        <is>
          <t>980-9I042-00C000</t>
        </is>
      </c>
      <c r="D19" t="inlineStr">
        <is>
          <t>8XTGF</t>
        </is>
      </c>
      <c r="E19" t="inlineStr">
        <is>
          <t>Transceiver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1502</v>
      </c>
      <c r="Q19" t="n">
        <v>2250</v>
      </c>
      <c r="R19" t="n">
        <v>9222</v>
      </c>
      <c r="S19" t="n">
        <v>9222</v>
      </c>
      <c r="T19" t="n">
        <v>654</v>
      </c>
      <c r="Y19">
        <f>SUM(F15:W15)</f>
        <v/>
      </c>
    </row>
    <row r="20">
      <c r="A20" t="inlineStr">
        <is>
          <t>980-9I16Y-00W000</t>
        </is>
      </c>
      <c r="B20" t="inlineStr">
        <is>
          <t>NVDA  400G to 4x100, QSFD-DD,MPO,1310nm SMF, up to 500m, DR4 [MMS1V00-WM]</t>
        </is>
      </c>
      <c r="C20" t="inlineStr">
        <is>
          <t>980-9I16Y-00W000</t>
        </is>
      </c>
      <c r="D20" t="inlineStr">
        <is>
          <t>NRW8Y</t>
        </is>
      </c>
      <c r="E20" t="inlineStr">
        <is>
          <t>Transceiver</t>
        </is>
      </c>
      <c r="G20" t="n">
        <v>48</v>
      </c>
      <c r="H20" t="n">
        <v>32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16</v>
      </c>
      <c r="O20" t="n">
        <v>16</v>
      </c>
      <c r="P20" t="n">
        <v>67</v>
      </c>
      <c r="Q20" t="n">
        <v>89</v>
      </c>
      <c r="R20" t="n">
        <v>2183</v>
      </c>
      <c r="S20" t="n">
        <v>2183</v>
      </c>
      <c r="T20" t="n">
        <v>152</v>
      </c>
      <c r="Y20">
        <f>SUM(F16:W16)</f>
        <v/>
      </c>
    </row>
    <row r="21">
      <c r="A21" t="inlineStr">
        <is>
          <t>980-9I30G-F4NM00</t>
        </is>
      </c>
      <c r="B21" t="inlineStr">
        <is>
          <t>NVDA twin port XCVR, 800GbE,2x400,IPonly,O112,2xMPO12 APC,1310N SMF,to 500m,finned HIS[MMS4X00-NM-T]</t>
        </is>
      </c>
      <c r="C21" t="inlineStr">
        <is>
          <t>980-9I30G-F4NM00</t>
        </is>
      </c>
      <c r="D21" t="inlineStr">
        <is>
          <t>YW1C0</t>
        </is>
      </c>
      <c r="E21" t="inlineStr">
        <is>
          <t>Transceiver</t>
        </is>
      </c>
      <c r="G21" t="n">
        <v>0</v>
      </c>
      <c r="H21" t="n">
        <v>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792</v>
      </c>
      <c r="O21" t="n">
        <v>840</v>
      </c>
      <c r="P21" t="n">
        <v>16</v>
      </c>
      <c r="Q21" t="n">
        <v>21</v>
      </c>
      <c r="R21" t="n">
        <v>70</v>
      </c>
      <c r="S21" t="n">
        <v>70</v>
      </c>
      <c r="T21" t="n">
        <v>10</v>
      </c>
      <c r="Y21">
        <f>SUM(F17:W17)</f>
        <v/>
      </c>
    </row>
    <row r="22">
      <c r="A22" t="inlineStr">
        <is>
          <t>980-9IAJ0-00XM00</t>
        </is>
      </c>
      <c r="B22" t="inlineStr">
        <is>
          <t>NVIDIA twin port XCVR, 2xDR4,1600Gbps,OSFP, 2xMPO(APC), 1310nm SMF, up to 500m, RHS, TRO, IP Only</t>
        </is>
      </c>
      <c r="C22" t="inlineStr">
        <is>
          <t>980-9IAJ0-00XM00</t>
        </is>
      </c>
      <c r="D22" t="inlineStr">
        <is>
          <t>M5G88</t>
        </is>
      </c>
      <c r="E22" t="inlineStr">
        <is>
          <t>Transceiver</t>
        </is>
      </c>
      <c r="G22" t="n">
        <v>0</v>
      </c>
      <c r="H22" t="n">
        <v>0</v>
      </c>
      <c r="I22" t="n">
        <v>288</v>
      </c>
      <c r="J22" t="n">
        <v>0</v>
      </c>
      <c r="K22" t="n">
        <v>54432</v>
      </c>
      <c r="L22" t="n">
        <v>15120</v>
      </c>
      <c r="M22" t="n">
        <v>30240</v>
      </c>
      <c r="N22" t="n">
        <v>0</v>
      </c>
      <c r="O22" t="n">
        <v>0</v>
      </c>
      <c r="P22" t="n">
        <v>84672</v>
      </c>
      <c r="Q22" t="n">
        <v>129024</v>
      </c>
      <c r="R22" t="n">
        <v>516096</v>
      </c>
      <c r="S22" t="n">
        <v>516096</v>
      </c>
      <c r="T22" t="n">
        <v>27360</v>
      </c>
      <c r="Y22">
        <f>SUM(F18:W18)</f>
        <v/>
      </c>
    </row>
    <row r="23">
      <c r="A23" t="inlineStr">
        <is>
          <t>A7204378</t>
        </is>
      </c>
      <c r="B23" t="inlineStr">
        <is>
          <t>Switch Xcvr to LC Patch Panel LC-LC short leg patch cable, Other end is MPO to 4xLC to OOB Spine</t>
        </is>
      </c>
      <c r="E23" t="inlineStr">
        <is>
          <t>Cables</t>
        </is>
      </c>
      <c r="G23" t="n">
        <v>0</v>
      </c>
      <c r="H23" t="n">
        <v>0</v>
      </c>
      <c r="I23" t="n">
        <v>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Y23">
        <f>SUM(F19:W19)</f>
        <v/>
      </c>
    </row>
    <row r="24">
      <c r="A24" t="inlineStr">
        <is>
          <t>Aircool AC Rack</t>
        </is>
      </c>
      <c r="C24" t="inlineStr">
        <is>
          <t>Aircool AC Rack</t>
        </is>
      </c>
      <c r="E24" t="inlineStr">
        <is>
          <t>Other</t>
        </is>
      </c>
      <c r="U24" t="n">
        <v>28</v>
      </c>
      <c r="V24" t="n">
        <v>28</v>
      </c>
      <c r="W24" t="n">
        <v>50</v>
      </c>
      <c r="X24" t="n">
        <v>32</v>
      </c>
      <c r="Y24">
        <f>SUM(F20:W20)</f>
        <v/>
      </c>
    </row>
    <row r="25">
      <c r="A25" t="inlineStr">
        <is>
          <t>C4X6C VSR4</t>
        </is>
      </c>
      <c r="B25" t="inlineStr">
        <is>
          <t>Hisense 80C multi‑mode QSFP112 transceiver</t>
        </is>
      </c>
      <c r="E25" t="inlineStr">
        <is>
          <t>Transceiver</t>
        </is>
      </c>
      <c r="G25" t="n">
        <v>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Y25">
        <f>SUM(F21:W21)</f>
        <v/>
      </c>
    </row>
    <row r="26">
      <c r="A26" t="inlineStr">
        <is>
          <t>CAT6 Thin 10M</t>
        </is>
      </c>
      <c r="C26" t="inlineStr">
        <is>
          <t>CAT6 Thin 10M</t>
        </is>
      </c>
      <c r="E26" t="inlineStr">
        <is>
          <t>Other</t>
        </is>
      </c>
      <c r="U26" t="n">
        <v>4048</v>
      </c>
      <c r="V26" t="n">
        <v>4048</v>
      </c>
      <c r="W26" t="n">
        <v>8510</v>
      </c>
      <c r="X26" t="n">
        <v>5198</v>
      </c>
      <c r="Y26">
        <f>SUM(F22:W22)</f>
        <v/>
      </c>
    </row>
    <row r="27">
      <c r="A27" t="inlineStr">
        <is>
          <t>CAT6 Thin 3M</t>
        </is>
      </c>
      <c r="C27" t="inlineStr">
        <is>
          <t>CAT6 Thin 3M</t>
        </is>
      </c>
      <c r="E27" t="inlineStr">
        <is>
          <t>Other</t>
        </is>
      </c>
      <c r="U27" t="n">
        <v>10304</v>
      </c>
      <c r="V27" t="n">
        <v>10304</v>
      </c>
      <c r="W27" t="n">
        <v>21896</v>
      </c>
      <c r="X27" t="n">
        <v>11592</v>
      </c>
      <c r="Y27">
        <f>SUM(F23:W23)</f>
        <v/>
      </c>
    </row>
    <row r="28">
      <c r="A28" t="inlineStr">
        <is>
          <t>Cat 6 Cable</t>
        </is>
      </c>
      <c r="B28" t="inlineStr">
        <is>
          <t>NVIDIA Spectrum-6 based 800GbE Ethernet switch with Cumulus Linux Authentication, 64 OSFP, 1 QSFP112, 48VDC Busbar, 8-Cores CPU, Secure-boot, Liquid-Cooling, Rail-Kit.D39</t>
        </is>
      </c>
      <c r="E28" t="inlineStr">
        <is>
          <t>Cables</t>
        </is>
      </c>
      <c r="G28" t="n">
        <v>0</v>
      </c>
      <c r="H28" t="n">
        <v>0</v>
      </c>
      <c r="I28" t="n">
        <v>32</v>
      </c>
      <c r="J28" t="n">
        <v>0</v>
      </c>
      <c r="K28" t="n">
        <v>864</v>
      </c>
      <c r="L28" t="n">
        <v>256</v>
      </c>
      <c r="M28" t="n">
        <v>480</v>
      </c>
      <c r="N28" t="n">
        <v>242</v>
      </c>
      <c r="O28" t="n">
        <v>234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Y28">
        <f>SUM(F24:W24)</f>
        <v/>
      </c>
    </row>
    <row r="29">
      <c r="A29" t="inlineStr">
        <is>
          <t>Corning 4x100 Breakout PP</t>
        </is>
      </c>
      <c r="B29" t="inlineStr">
        <is>
          <t>Final Count will come from Actual BOM</t>
        </is>
      </c>
      <c r="E29" t="inlineStr">
        <is>
          <t>Transceiver</t>
        </is>
      </c>
      <c r="G29" t="n">
        <v>0</v>
      </c>
      <c r="H29" t="n">
        <v>0</v>
      </c>
      <c r="I29" t="n">
        <v>0</v>
      </c>
      <c r="J29" t="n">
        <v>0</v>
      </c>
      <c r="K29" t="n">
        <v>24</v>
      </c>
      <c r="L29" t="n">
        <v>8</v>
      </c>
      <c r="M29" t="n">
        <v>24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Y29">
        <f>SUM(F25:W25)</f>
        <v/>
      </c>
    </row>
    <row r="30">
      <c r="A30" t="inlineStr">
        <is>
          <t>D3P20</t>
        </is>
      </c>
      <c r="B30" t="inlineStr">
        <is>
          <t>MOD,CBL,MPO12-APC,SMF,5M</t>
        </is>
      </c>
      <c r="E30" t="inlineStr">
        <is>
          <t>Cables</t>
        </is>
      </c>
      <c r="G30" t="n">
        <v>12</v>
      </c>
      <c r="H30" t="n">
        <v>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Y30">
        <f>SUM(F26:W26)</f>
        <v/>
      </c>
    </row>
    <row r="31">
      <c r="A31" t="inlineStr">
        <is>
          <t>DLC DC Rack</t>
        </is>
      </c>
      <c r="C31" t="inlineStr">
        <is>
          <t>DLC DC Rack</t>
        </is>
      </c>
      <c r="E31" t="inlineStr">
        <is>
          <t>Other</t>
        </is>
      </c>
      <c r="U31" t="n">
        <v>48</v>
      </c>
      <c r="V31" t="n">
        <v>24</v>
      </c>
      <c r="W31" t="n">
        <v>52</v>
      </c>
      <c r="X31" t="n">
        <v>36</v>
      </c>
      <c r="Y31">
        <f>SUM(F27:W27)</f>
        <v/>
      </c>
    </row>
    <row r="32">
      <c r="A32" t="inlineStr">
        <is>
          <t>EDGE-03U-8B2X2G</t>
        </is>
      </c>
      <c r="B32" t="inlineStr">
        <is>
          <t>3U EDGE Shuffling Housing, Holds 8_2x2 Type B Modules for 128 input x 128 output ports</t>
        </is>
      </c>
      <c r="E32" t="inlineStr">
        <is>
          <t>Rack</t>
        </is>
      </c>
      <c r="G32" t="n">
        <v>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Y32">
        <f>SUM(F28:W28)</f>
        <v/>
      </c>
    </row>
    <row r="33">
      <c r="A33" t="inlineStr">
        <is>
          <t>Fiber Jumper Cable</t>
        </is>
      </c>
      <c r="E33" t="inlineStr">
        <is>
          <t>Cables</t>
        </is>
      </c>
      <c r="G33" t="n">
        <v>0</v>
      </c>
      <c r="H33" t="n">
        <v>0</v>
      </c>
      <c r="I33" t="n">
        <v>0</v>
      </c>
      <c r="J33" t="n">
        <v>0</v>
      </c>
      <c r="K33" t="n">
        <v>72576</v>
      </c>
      <c r="L33" t="n">
        <v>0</v>
      </c>
      <c r="M33" t="n">
        <v>30240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Y33">
        <f>SUM(F29:W29)</f>
        <v/>
      </c>
    </row>
    <row r="34">
      <c r="A34" t="inlineStr">
        <is>
          <t>Fiber Jumper cables</t>
        </is>
      </c>
      <c r="B34" t="inlineStr">
        <is>
          <t>Jumper cables from shiuffle box to leaf</t>
        </is>
      </c>
      <c r="E34" t="inlineStr">
        <is>
          <t>Cables</t>
        </is>
      </c>
      <c r="G34" t="n">
        <v>0</v>
      </c>
      <c r="H34" t="n">
        <v>0</v>
      </c>
      <c r="I34" t="n">
        <v>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Y34">
        <f>SUM(F30:W30)</f>
        <v/>
      </c>
    </row>
    <row r="35">
      <c r="A35" t="inlineStr">
        <is>
          <t>Fiber panel T1-NtwkRack</t>
        </is>
      </c>
      <c r="C35" t="inlineStr">
        <is>
          <t>Fiber panel T1-NtwkRack</t>
        </is>
      </c>
      <c r="E35" t="inlineStr">
        <is>
          <t>Rack</t>
        </is>
      </c>
      <c r="U35" t="n">
        <v>256</v>
      </c>
      <c r="Y35">
        <f>SUM(F31:W31)</f>
        <v/>
      </c>
    </row>
    <row r="36">
      <c r="A36" t="inlineStr">
        <is>
          <t>Fiber panel per T1-NtwkRack</t>
        </is>
      </c>
      <c r="C36" t="inlineStr">
        <is>
          <t>Fiber panel per T1-NtwkRack</t>
        </is>
      </c>
      <c r="E36" t="inlineStr">
        <is>
          <t>Rack</t>
        </is>
      </c>
      <c r="U36" t="n">
        <v>8</v>
      </c>
      <c r="Y36">
        <f>SUM(F32:W32)</f>
        <v/>
      </c>
    </row>
    <row r="37">
      <c r="A37" t="inlineStr">
        <is>
          <t>Fiber shuffle cassette</t>
        </is>
      </c>
      <c r="C37" t="inlineStr">
        <is>
          <t>Fiber shuffle cassette</t>
        </is>
      </c>
      <c r="E37" t="inlineStr">
        <is>
          <t>Rack</t>
        </is>
      </c>
      <c r="U37" t="n">
        <v>4032</v>
      </c>
      <c r="Y37">
        <f>SUM(F33:W33)</f>
        <v/>
      </c>
    </row>
    <row r="38">
      <c r="A38" t="inlineStr">
        <is>
          <t>Fiber shuffle cassette per T1-NtwkRack</t>
        </is>
      </c>
      <c r="C38" t="inlineStr">
        <is>
          <t>Fiber shuffle cassette per T1-NtwkRack</t>
        </is>
      </c>
      <c r="E38" t="inlineStr">
        <is>
          <t>Rack</t>
        </is>
      </c>
      <c r="U38" t="n">
        <v>126</v>
      </c>
      <c r="Y38">
        <f>SUM(F34:W34)</f>
        <v/>
      </c>
    </row>
    <row r="39">
      <c r="A39" t="inlineStr">
        <is>
          <t>FiberPanel</t>
        </is>
      </c>
      <c r="B39" t="inlineStr">
        <is>
          <t>2U Panel</t>
        </is>
      </c>
      <c r="C39" t="inlineStr">
        <is>
          <t>FiberPanel</t>
        </is>
      </c>
      <c r="E39" t="inlineStr">
        <is>
          <t>Rack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3584</v>
      </c>
      <c r="S39" t="n">
        <v>3584</v>
      </c>
      <c r="T39" t="n">
        <v>0</v>
      </c>
      <c r="Y39">
        <f>SUM(F35:W35)</f>
        <v/>
      </c>
    </row>
    <row r="40">
      <c r="A40" t="inlineStr">
        <is>
          <t>FiberPanel - 2U</t>
        </is>
      </c>
      <c r="B40" t="inlineStr">
        <is>
          <t>One Patch Panel to rack where SN4700 is installed since 4x100G cable length max size is 5m</t>
        </is>
      </c>
      <c r="E40" t="inlineStr">
        <is>
          <t>Cables</t>
        </is>
      </c>
      <c r="G40" t="n">
        <v>0</v>
      </c>
      <c r="H40" t="n">
        <v>4</v>
      </c>
      <c r="I40" t="n">
        <v>4</v>
      </c>
      <c r="J40" t="n">
        <v>4</v>
      </c>
      <c r="K40" t="n">
        <v>512</v>
      </c>
      <c r="L40" t="n">
        <v>0</v>
      </c>
      <c r="M40" t="n">
        <v>240</v>
      </c>
      <c r="N40" t="n">
        <v>0</v>
      </c>
      <c r="O40" t="n">
        <v>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Y40">
        <f>SUM(F36:W36)</f>
        <v/>
      </c>
    </row>
    <row r="41">
      <c r="A41" t="inlineStr">
        <is>
          <t>Fibre Shuffle Cassettes</t>
        </is>
      </c>
      <c r="B41" t="inlineStr">
        <is>
          <t>Cassette /SU for Leaf Rack GPU to Leaf [Hosted in Leaf rack] - - MPO-8 4x4 Shuffle Module, 4x8f MPO/APC pinned rear to 4X8f MPO/APC pinned front</t>
        </is>
      </c>
      <c r="C41" t="inlineStr">
        <is>
          <t>Fibre Shuffle Cassettes</t>
        </is>
      </c>
      <c r="E41" t="inlineStr">
        <is>
          <t>Rack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10584</v>
      </c>
      <c r="Q41" t="n">
        <v>16128</v>
      </c>
      <c r="R41" t="n">
        <v>129024</v>
      </c>
      <c r="S41" t="n">
        <v>129024</v>
      </c>
      <c r="T41" t="n">
        <v>4536</v>
      </c>
      <c r="Y41">
        <f>SUM(F37:W37)</f>
        <v/>
      </c>
    </row>
    <row r="42">
      <c r="A42" t="inlineStr">
        <is>
          <t>GEDEDU8GPN-008-U030M</t>
        </is>
      </c>
      <c r="B42" t="inlineStr">
        <is>
          <t>288f Trunk, SMF, MPO8 APC Non-pinned to MPO8 APC Non-pinned, Type B Polarity, 8' leg length</t>
        </is>
      </c>
      <c r="E42" t="inlineStr">
        <is>
          <t>Rack</t>
        </is>
      </c>
      <c r="G42" t="n">
        <v>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Y42">
        <f>SUM(F38:W38)</f>
        <v/>
      </c>
    </row>
    <row r="43">
      <c r="A43" t="inlineStr">
        <is>
          <t>IR5000</t>
        </is>
      </c>
      <c r="B43" t="inlineStr">
        <is>
          <t>IR5000/750mm</t>
        </is>
      </c>
      <c r="E43" t="inlineStr">
        <is>
          <t>Rack</t>
        </is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Y43">
        <f>SUM(F39:W39)</f>
        <v/>
      </c>
    </row>
    <row r="44">
      <c r="A44" t="inlineStr">
        <is>
          <t>IR9048</t>
        </is>
      </c>
      <c r="B44" t="inlineStr">
        <is>
          <t>750mm x 1200mm/ 48RU</t>
        </is>
      </c>
      <c r="E44" t="inlineStr">
        <is>
          <t>Rack</t>
        </is>
      </c>
      <c r="G44" t="n">
        <v>4</v>
      </c>
      <c r="H44" t="n">
        <v>0</v>
      </c>
      <c r="I44" t="n">
        <v>0</v>
      </c>
      <c r="J44" t="n">
        <v>11</v>
      </c>
      <c r="K44" t="n">
        <v>36</v>
      </c>
      <c r="L44" t="n">
        <v>13</v>
      </c>
      <c r="M44" t="n">
        <v>30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Y44">
        <f>SUM(F40:W40)</f>
        <v/>
      </c>
    </row>
    <row r="45">
      <c r="A45" t="inlineStr">
        <is>
          <t>IR9148</t>
        </is>
      </c>
      <c r="B45" t="inlineStr">
        <is>
          <t>750mm x 1200mm/ 48RU</t>
        </is>
      </c>
      <c r="E45" t="inlineStr">
        <is>
          <t>Rack</t>
        </is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32</v>
      </c>
      <c r="M45" t="n">
        <v>0</v>
      </c>
      <c r="N45" t="n">
        <v>2</v>
      </c>
      <c r="O45" t="n">
        <v>2</v>
      </c>
      <c r="P45" t="n">
        <v>116</v>
      </c>
      <c r="Q45" t="n">
        <v>160</v>
      </c>
      <c r="R45" t="n">
        <v>764</v>
      </c>
      <c r="S45" t="n">
        <v>764</v>
      </c>
      <c r="T45" t="n">
        <v>52</v>
      </c>
      <c r="Y45">
        <f>SUM(F41:W41)</f>
        <v/>
      </c>
    </row>
    <row r="46">
      <c r="A46" t="inlineStr">
        <is>
          <t>IR9149</t>
        </is>
      </c>
      <c r="B46" t="inlineStr">
        <is>
          <t>IR9000/750mmx1200mm/48U</t>
        </is>
      </c>
      <c r="E46" t="inlineStr">
        <is>
          <t>Rack</t>
        </is>
      </c>
      <c r="G46" t="n">
        <v>0</v>
      </c>
      <c r="H46" t="n">
        <v>0</v>
      </c>
      <c r="I46" t="n">
        <v>0</v>
      </c>
      <c r="J46" t="n">
        <v>0</v>
      </c>
      <c r="K46" t="n">
        <v>40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Y46">
        <f>SUM(F42:W42)</f>
        <v/>
      </c>
    </row>
    <row r="47">
      <c r="A47" t="inlineStr">
        <is>
          <t>J6TD3</t>
        </is>
      </c>
      <c r="B47" t="inlineStr">
        <is>
          <t>CBL-MPO12-4LC-SM-5M</t>
        </is>
      </c>
      <c r="E47" t="inlineStr">
        <is>
          <t>Cables</t>
        </is>
      </c>
      <c r="G47" t="n">
        <v>24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Y47">
        <f>SUM(F43:W43)</f>
        <v/>
      </c>
    </row>
    <row r="48">
      <c r="A48" t="inlineStr">
        <is>
          <t>JEDED08GE8-NB003M</t>
        </is>
      </c>
      <c r="B48" t="inlineStr">
        <is>
          <t>8f Jumper, SMF, MPO8 APC Non-pinned to MPO8 APC Non-pinned, Type B Polarity</t>
        </is>
      </c>
      <c r="E48" t="inlineStr">
        <is>
          <t>Rack</t>
        </is>
      </c>
      <c r="G48" t="n">
        <v>2048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Y48">
        <f>SUM(F44:W44)</f>
        <v/>
      </c>
    </row>
    <row r="49">
      <c r="A49" t="inlineStr">
        <is>
          <t>LC QSFP28-100G-DR1</t>
        </is>
      </c>
      <c r="C49" t="inlineStr">
        <is>
          <t>LC QSFP28-100G-DR1</t>
        </is>
      </c>
      <c r="E49" t="inlineStr">
        <is>
          <t>Other</t>
        </is>
      </c>
      <c r="U49" t="n">
        <v>678</v>
      </c>
      <c r="V49" t="n">
        <v>678</v>
      </c>
      <c r="W49" t="n">
        <v>1412</v>
      </c>
      <c r="X49" t="n">
        <v>788</v>
      </c>
      <c r="Y49">
        <f>SUM(F45:W45)</f>
        <v/>
      </c>
    </row>
    <row r="50">
      <c r="A50" t="inlineStr">
        <is>
          <t>MFP7E10-N05</t>
        </is>
      </c>
      <c r="B50" t="inlineStr">
        <is>
          <t>(MPO‑12) multimode fiber cable Type‑B</t>
        </is>
      </c>
      <c r="E50" t="inlineStr">
        <is>
          <t>Cables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Y50">
        <f>SUM(F46:W46)</f>
        <v/>
      </c>
    </row>
    <row r="51">
      <c r="A51" t="inlineStr">
        <is>
          <t>MFP7E10-N050</t>
        </is>
      </c>
      <c r="B51" t="inlineStr">
        <is>
          <t>MultiMode Fiber 5 meter MPO12/APC OM4</t>
        </is>
      </c>
      <c r="E51" t="inlineStr">
        <is>
          <t>Cables</t>
        </is>
      </c>
      <c r="G51" t="n">
        <v>0</v>
      </c>
      <c r="H51" t="n">
        <v>0</v>
      </c>
      <c r="I51" t="n">
        <v>0</v>
      </c>
      <c r="J51" t="n">
        <v>992</v>
      </c>
      <c r="K51" t="n">
        <v>0</v>
      </c>
      <c r="L51" t="n">
        <v>1488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Y51">
        <f>SUM(F47:W47)</f>
        <v/>
      </c>
    </row>
    <row r="52">
      <c r="A52" t="inlineStr">
        <is>
          <t>MFP7E10‑N005</t>
        </is>
      </c>
      <c r="B52" t="inlineStr">
        <is>
          <t>MultiMode Fiber  MPO12/APC OM4 Type-B - 5 meter</t>
        </is>
      </c>
      <c r="E52" t="inlineStr">
        <is>
          <t>Cables</t>
        </is>
      </c>
      <c r="G52" t="n">
        <v>176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Y52">
        <f>SUM(F48:W48)</f>
        <v/>
      </c>
    </row>
    <row r="53">
      <c r="A53" t="inlineStr">
        <is>
          <t>MFP7E30-N050</t>
        </is>
      </c>
      <c r="B53" t="inlineStr">
        <is>
          <t>MPO-12/APC to MPO-12/APC cable, 1310nm SMF OS2, 100m max, 50 M</t>
        </is>
      </c>
      <c r="E53" t="inlineStr">
        <is>
          <t>Cables</t>
        </is>
      </c>
      <c r="G53" t="n">
        <v>0</v>
      </c>
      <c r="H53" t="n">
        <v>0</v>
      </c>
      <c r="I53" t="n">
        <v>8</v>
      </c>
      <c r="J53" t="n">
        <v>24</v>
      </c>
      <c r="K53" t="n">
        <v>88</v>
      </c>
      <c r="L53" t="n">
        <v>208</v>
      </c>
      <c r="M53" t="n">
        <v>7640</v>
      </c>
      <c r="N53" t="n">
        <v>8</v>
      </c>
      <c r="O53" t="n">
        <v>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>
        <f>SUM(F49:W49)</f>
        <v/>
      </c>
    </row>
    <row r="54">
      <c r="A54" t="inlineStr">
        <is>
          <t>MFP7E40-N050</t>
        </is>
      </c>
      <c r="B54" t="inlineStr">
        <is>
          <t>MPO-12/APC to 2xMPO-12/APC cable, 1310nm SMF OS2, 100m max, 50 M</t>
        </is>
      </c>
      <c r="E54" t="inlineStr">
        <is>
          <t>Cables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1216</v>
      </c>
      <c r="O54" t="n">
        <v>1120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Y54">
        <f>SUM(F50:W50)</f>
        <v/>
      </c>
    </row>
    <row r="55">
      <c r="A55" t="inlineStr">
        <is>
          <t>MMA4Z00-NS</t>
        </is>
      </c>
      <c r="B55" t="inlineStr">
        <is>
          <t>NVDA XCVR, 800Gbps,2xNDR, OSFP, 2xMPO12 APC, 850nm MMF, up to 50m, finned[MMA4Z00-NS]</t>
        </is>
      </c>
      <c r="C55" t="inlineStr">
        <is>
          <t>980-9I510-00NS00</t>
        </is>
      </c>
      <c r="D55" t="inlineStr">
        <is>
          <t>70HK1</t>
        </is>
      </c>
      <c r="E55" t="inlineStr">
        <is>
          <t>Transceiver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Y55">
        <f>SUM(F51:W51)</f>
        <v/>
      </c>
    </row>
    <row r="56">
      <c r="A56" t="inlineStr">
        <is>
          <t>MMA4Z00-NS-FLT</t>
        </is>
      </c>
      <c r="B56" t="inlineStr">
        <is>
          <t>NVDA twin port XCVR,800GbE,2x400,IPonly,O112, 2xMPO12 APC,850nm MMF,to 50m,flat top RHS[MMA4Z00-NS-FLT ]</t>
        </is>
      </c>
      <c r="C56" t="inlineStr">
        <is>
          <t>980-9I51A-00NS00</t>
        </is>
      </c>
      <c r="D56" t="inlineStr">
        <is>
          <t>N72T0</t>
        </is>
      </c>
      <c r="E56" t="inlineStr">
        <is>
          <t>Transceiver</t>
        </is>
      </c>
      <c r="G56" t="n">
        <v>0</v>
      </c>
      <c r="H56" t="n">
        <v>0</v>
      </c>
      <c r="I56" t="n">
        <v>0</v>
      </c>
      <c r="J56" t="n">
        <v>496</v>
      </c>
      <c r="K56" t="n">
        <v>0</v>
      </c>
      <c r="L56" t="n">
        <v>744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Y56">
        <f>SUM(F52:W52)</f>
        <v/>
      </c>
    </row>
    <row r="57">
      <c r="A57" t="inlineStr">
        <is>
          <t>MMA4Z00‑NS</t>
        </is>
      </c>
      <c r="B57" t="inlineStr">
        <is>
          <t>NVDA XCVR, 800Gbps,2xNDR, OSFP, 2xMPO12 APC, 850nm MMF, up to 50m, finned[MMA4Z00-NS]</t>
        </is>
      </c>
      <c r="C57" t="inlineStr">
        <is>
          <t>980-9I510-00NS00</t>
        </is>
      </c>
      <c r="D57" t="inlineStr">
        <is>
          <t>70HK1</t>
        </is>
      </c>
      <c r="E57" t="inlineStr">
        <is>
          <t>Transceiver</t>
        </is>
      </c>
      <c r="G57" t="n">
        <v>0</v>
      </c>
      <c r="H57" t="n">
        <v>0</v>
      </c>
      <c r="I57" t="n">
        <v>0</v>
      </c>
      <c r="J57" t="n">
        <v>496</v>
      </c>
      <c r="K57" t="n">
        <v>0</v>
      </c>
      <c r="L57" t="n">
        <v>744</v>
      </c>
      <c r="M57" t="n">
        <v>0</v>
      </c>
      <c r="N57" t="n">
        <v>0</v>
      </c>
      <c r="O57" t="n">
        <v>94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Y57">
        <f>SUM(F53:W53)</f>
        <v/>
      </c>
    </row>
    <row r="58">
      <c r="A58" t="inlineStr">
        <is>
          <t>MMA4Z00‑NS-T</t>
        </is>
      </c>
      <c r="B58" t="inlineStr">
        <is>
          <t>NVDA twin port XCVR, 800GbE, 2x400, IPonly,O112, 2xMPO12 APC,850nm MMF,to 50m, finned[MMA4Z00-NS-T]</t>
        </is>
      </c>
      <c r="C58" t="inlineStr">
        <is>
          <t>980-9I510-F4NS00</t>
        </is>
      </c>
      <c r="D58" t="inlineStr">
        <is>
          <t>YWX59</t>
        </is>
      </c>
      <c r="E58" t="inlineStr">
        <is>
          <t>Transceiver</t>
        </is>
      </c>
      <c r="G58" t="n">
        <v>88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Y58">
        <f>SUM(F54:W54)</f>
        <v/>
      </c>
    </row>
    <row r="59">
      <c r="A59" t="inlineStr">
        <is>
          <t>MMC12/APC SMF</t>
        </is>
      </c>
      <c r="C59" t="inlineStr">
        <is>
          <t>MMC12/APC SMF</t>
        </is>
      </c>
      <c r="E59" t="inlineStr">
        <is>
          <t>Cables</t>
        </is>
      </c>
      <c r="U59" t="n">
        <v>16384</v>
      </c>
      <c r="V59" t="n">
        <v>16384</v>
      </c>
      <c r="W59" t="n">
        <v>34272</v>
      </c>
      <c r="X59" t="n">
        <v>18144</v>
      </c>
      <c r="Y59">
        <f>SUM(F55:W55)</f>
        <v/>
      </c>
    </row>
    <row r="60">
      <c r="A60" t="inlineStr">
        <is>
          <t>MMS1V70-CM</t>
        </is>
      </c>
      <c r="B60" t="inlineStr">
        <is>
          <t>NVDA XCVR, 100GbE, QSFP28, LC, 1310nm, Single Mode 1-lane (DR1), IP[MMS1V70-CM]</t>
        </is>
      </c>
      <c r="C60" t="inlineStr">
        <is>
          <t>980-9I042-00C000</t>
        </is>
      </c>
      <c r="D60" t="inlineStr">
        <is>
          <t>8XTGF</t>
        </is>
      </c>
      <c r="E60" t="inlineStr">
        <is>
          <t>Transceiver</t>
        </is>
      </c>
      <c r="G60" t="n">
        <v>0</v>
      </c>
      <c r="H60" t="n">
        <v>0</v>
      </c>
      <c r="I60" t="n">
        <v>24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Y60">
        <f>SUM(F56:W56)</f>
        <v/>
      </c>
    </row>
    <row r="61">
      <c r="A61" t="inlineStr">
        <is>
          <t>MMS1X00-NS400</t>
        </is>
      </c>
      <c r="B61" t="inlineStr">
        <is>
          <t>NVDA XCVR400GbE, QSFP112, MPO12 APC, R4, SMF, p to 500m, Flattop (MMS1X00-NS400)</t>
        </is>
      </c>
      <c r="C61" t="inlineStr">
        <is>
          <t>980-9I068-00NM00</t>
        </is>
      </c>
      <c r="D61" t="inlineStr">
        <is>
          <t>6YVDP</t>
        </is>
      </c>
      <c r="E61" t="inlineStr">
        <is>
          <t>Transceiver</t>
        </is>
      </c>
      <c r="G61" t="n">
        <v>64</v>
      </c>
      <c r="H61" t="n">
        <v>0</v>
      </c>
      <c r="I61" t="n">
        <v>0</v>
      </c>
      <c r="J61" t="n">
        <v>64</v>
      </c>
      <c r="K61" t="n">
        <v>8712</v>
      </c>
      <c r="L61" t="n">
        <v>64</v>
      </c>
      <c r="M61" t="n">
        <v>7260</v>
      </c>
      <c r="N61" t="n">
        <v>640</v>
      </c>
      <c r="O61" t="n">
        <v>192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Y61">
        <f>SUM(F57:W57)</f>
        <v/>
      </c>
    </row>
    <row r="62">
      <c r="A62" t="inlineStr">
        <is>
          <t>MMS1X00-NS400 - 6YVDP</t>
        </is>
      </c>
      <c r="B62" t="inlineStr">
        <is>
          <t>NVDA XCVR400GbE, QSFP112, MPO12 APC, R4, SMF, p to 500m, Flattop (MMS1X00-NS400)</t>
        </is>
      </c>
      <c r="C62" t="inlineStr">
        <is>
          <t>980-9I068-00NM00</t>
        </is>
      </c>
      <c r="D62" t="inlineStr">
        <is>
          <t>6YVDP</t>
        </is>
      </c>
      <c r="E62" t="inlineStr">
        <is>
          <t>Transceiver</t>
        </is>
      </c>
      <c r="G62" t="n">
        <v>192</v>
      </c>
      <c r="H62" t="n">
        <v>192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Y62">
        <f>SUM(F58:W58)</f>
        <v/>
      </c>
    </row>
    <row r="63">
      <c r="A63" t="inlineStr">
        <is>
          <t>MMS4X00-NM-T</t>
        </is>
      </c>
      <c r="B63" t="inlineStr">
        <is>
          <t>NVDA twin port XCVR, 800GbE,2x400,IPonly,O112,2xMPO12 APC,1310N SMF,to 500m,finned HIS[MMS4X00-NM-T]</t>
        </is>
      </c>
      <c r="C63" t="inlineStr">
        <is>
          <t>980-9I30G-F4NM00</t>
        </is>
      </c>
      <c r="D63" t="inlineStr">
        <is>
          <t>YW1C0</t>
        </is>
      </c>
      <c r="E63" t="inlineStr">
        <is>
          <t>Transceiver</t>
        </is>
      </c>
      <c r="G63" t="n">
        <v>1240</v>
      </c>
      <c r="H63" t="n">
        <v>360</v>
      </c>
      <c r="I63" t="n">
        <v>0</v>
      </c>
      <c r="J63" t="n">
        <v>1024</v>
      </c>
      <c r="K63" t="n">
        <v>2524</v>
      </c>
      <c r="L63" t="n">
        <v>2320</v>
      </c>
      <c r="M63" t="n">
        <v>2046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Y63">
        <f>SUM(F59:W59)</f>
        <v/>
      </c>
    </row>
    <row r="64">
      <c r="A64" t="inlineStr">
        <is>
          <t>MPO OSFP112-800G-2x400G-2DR4 Twin</t>
        </is>
      </c>
      <c r="C64" t="inlineStr">
        <is>
          <t>MPO OSFP112-800G-2x400G-2DR4 Twin</t>
        </is>
      </c>
      <c r="E64" t="inlineStr">
        <is>
          <t>Transceiver</t>
        </is>
      </c>
      <c r="U64" t="n">
        <v>3148</v>
      </c>
      <c r="V64" t="n">
        <v>3148</v>
      </c>
      <c r="W64" t="n">
        <v>11464</v>
      </c>
      <c r="X64" t="n">
        <v>6460</v>
      </c>
      <c r="Y64">
        <f>SUM(F60:W60)</f>
        <v/>
      </c>
    </row>
    <row r="65">
      <c r="A65" t="inlineStr">
        <is>
          <t>MPO OSFP224-1600G-2x800G-2DR4 Twin RHS</t>
        </is>
      </c>
      <c r="C65" t="inlineStr">
        <is>
          <t>MPO OSFP224-1600G-2x800G-2DR4 Twin RHS</t>
        </is>
      </c>
      <c r="E65" t="inlineStr">
        <is>
          <t>Transceiver</t>
        </is>
      </c>
      <c r="U65" t="n">
        <v>8064</v>
      </c>
      <c r="V65" t="n">
        <v>8064</v>
      </c>
      <c r="W65" t="n">
        <v>17136</v>
      </c>
      <c r="X65" t="n">
        <v>9072</v>
      </c>
      <c r="Y65">
        <f>SUM(F61:W61)</f>
        <v/>
      </c>
    </row>
    <row r="66">
      <c r="A66" t="inlineStr">
        <is>
          <t>MPO QSFP112-400G-DR4</t>
        </is>
      </c>
      <c r="C66" t="inlineStr">
        <is>
          <t>MPO QSFP112-400G-DR4</t>
        </is>
      </c>
      <c r="E66" t="inlineStr">
        <is>
          <t>Cables</t>
        </is>
      </c>
      <c r="U66" t="n">
        <v>4092</v>
      </c>
      <c r="V66" t="n">
        <v>4092</v>
      </c>
      <c r="W66" t="n">
        <v>8628</v>
      </c>
      <c r="X66" t="n">
        <v>4760</v>
      </c>
      <c r="Y66">
        <f>SUM(F62:W62)</f>
        <v/>
      </c>
    </row>
    <row r="67">
      <c r="A67" t="inlineStr">
        <is>
          <t>MPO QSFP56DD-400G-DR4</t>
        </is>
      </c>
      <c r="C67" t="inlineStr">
        <is>
          <t>MPO QSFP56DD-400G-DR4</t>
        </is>
      </c>
      <c r="E67" t="inlineStr">
        <is>
          <t>Cables</t>
        </is>
      </c>
      <c r="U67" t="n">
        <v>200</v>
      </c>
      <c r="V67" t="n">
        <v>200</v>
      </c>
      <c r="W67" t="n">
        <v>398</v>
      </c>
      <c r="X67" t="n">
        <v>230</v>
      </c>
      <c r="Y67">
        <f>SUM(F63:W63)</f>
        <v/>
      </c>
    </row>
    <row r="68">
      <c r="A68" t="inlineStr">
        <is>
          <t>MPO12/APC SMF</t>
        </is>
      </c>
      <c r="C68" t="inlineStr">
        <is>
          <t>MPO12/APC SMF</t>
        </is>
      </c>
      <c r="E68" t="inlineStr">
        <is>
          <t>Cables</t>
        </is>
      </c>
      <c r="U68" t="n">
        <v>5164</v>
      </c>
      <c r="V68" t="n">
        <v>5164</v>
      </c>
      <c r="W68" t="n">
        <v>15748</v>
      </c>
      <c r="X68" t="n">
        <v>8468</v>
      </c>
      <c r="Y68">
        <f>SUM(F64:W64)</f>
        <v/>
      </c>
    </row>
    <row r="69">
      <c r="A69" t="inlineStr">
        <is>
          <t>MPO12/APC SMF Jumper</t>
        </is>
      </c>
      <c r="C69" t="inlineStr">
        <is>
          <t>MPO12/APC SMF Jumper</t>
        </is>
      </c>
      <c r="E69" t="inlineStr">
        <is>
          <t>Cables</t>
        </is>
      </c>
      <c r="U69" t="n">
        <v>16128</v>
      </c>
      <c r="Y69">
        <f>SUM(F65:W65)</f>
        <v/>
      </c>
    </row>
    <row r="70">
      <c r="A70" t="inlineStr">
        <is>
          <t>MPO12/APC-2MPO12/APC SMF</t>
        </is>
      </c>
      <c r="C70" t="inlineStr">
        <is>
          <t>MPO12/APC-2MPO12/APC SMF</t>
        </is>
      </c>
      <c r="E70" t="inlineStr">
        <is>
          <t>Cables</t>
        </is>
      </c>
      <c r="U70" t="n">
        <v>30</v>
      </c>
      <c r="V70" t="n">
        <v>30</v>
      </c>
      <c r="W70" t="n">
        <v>30</v>
      </c>
      <c r="X70" t="n">
        <v>112</v>
      </c>
      <c r="Y70">
        <f>SUM(F66:W66)</f>
        <v/>
      </c>
    </row>
    <row r="71">
      <c r="A71" t="inlineStr">
        <is>
          <t>MPO12/APC-4LC SMF</t>
        </is>
      </c>
      <c r="C71" t="inlineStr">
        <is>
          <t>MPO12/APC-4LC SMF</t>
        </is>
      </c>
      <c r="E71" t="inlineStr">
        <is>
          <t>Cables</t>
        </is>
      </c>
      <c r="U71" t="n">
        <v>184</v>
      </c>
      <c r="V71" t="n">
        <v>184</v>
      </c>
      <c r="W71" t="n">
        <v>382</v>
      </c>
      <c r="X71" t="n">
        <v>214</v>
      </c>
      <c r="Y71">
        <f>SUM(F67:W67)</f>
        <v/>
      </c>
    </row>
    <row r="72">
      <c r="A72" t="inlineStr">
        <is>
          <t>MPO12/APC-MMC12/APC SMF</t>
        </is>
      </c>
      <c r="C72" t="inlineStr">
        <is>
          <t>MPO12/APC-MMC12/APC SMF</t>
        </is>
      </c>
      <c r="E72" t="inlineStr">
        <is>
          <t>Cables</t>
        </is>
      </c>
      <c r="U72" t="n">
        <v>16128</v>
      </c>
      <c r="V72" t="n">
        <v>16128</v>
      </c>
      <c r="W72" t="n">
        <v>34272</v>
      </c>
      <c r="X72" t="n">
        <v>18144</v>
      </c>
      <c r="Y72">
        <f>SUM(F68:W68)</f>
        <v/>
      </c>
    </row>
    <row r="73">
      <c r="A73" t="inlineStr">
        <is>
          <t>NFM93</t>
        </is>
      </c>
      <c r="B73" t="inlineStr">
        <is>
          <t>MOD,CBL,MPO12-2MPO4,SMF,30M</t>
        </is>
      </c>
      <c r="E73" t="inlineStr">
        <is>
          <t>Cables</t>
        </is>
      </c>
      <c r="G73" t="n">
        <v>96</v>
      </c>
      <c r="H73" t="n">
        <v>192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Y73">
        <f>SUM(F69:W69)</f>
        <v/>
      </c>
    </row>
    <row r="74">
      <c r="A74" t="inlineStr">
        <is>
          <t>PDU</t>
        </is>
      </c>
      <c r="C74" t="inlineStr">
        <is>
          <t>PDU</t>
        </is>
      </c>
      <c r="E74" t="inlineStr">
        <is>
          <t>Other</t>
        </is>
      </c>
      <c r="U74" t="n">
        <v>56</v>
      </c>
      <c r="V74" t="n">
        <v>56</v>
      </c>
      <c r="W74" t="n">
        <v>100</v>
      </c>
      <c r="X74" t="n">
        <v>64</v>
      </c>
      <c r="Y74">
        <f>SUM(F70:W70)</f>
        <v/>
      </c>
    </row>
    <row r="75">
      <c r="A75" t="inlineStr">
        <is>
          <t>PDU 3Ph, 415V, 60A</t>
        </is>
      </c>
      <c r="B75" t="inlineStr">
        <is>
          <t>3PH, 415V, 60A, 560P6, 42 Outlet</t>
        </is>
      </c>
      <c r="E75" t="inlineStr">
        <is>
          <t>Rack</t>
        </is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Y75">
        <f>SUM(F71:W71)</f>
        <v/>
      </c>
    </row>
    <row r="76">
      <c r="A76" t="inlineStr">
        <is>
          <t>PDU per Aircool AC Rack</t>
        </is>
      </c>
      <c r="C76" t="inlineStr">
        <is>
          <t>PDU per Aircool AC Rack</t>
        </is>
      </c>
      <c r="E76" t="inlineStr">
        <is>
          <t>Other</t>
        </is>
      </c>
      <c r="U76" t="n">
        <v>2</v>
      </c>
      <c r="V76" t="n">
        <v>2</v>
      </c>
      <c r="W76" t="n">
        <v>2</v>
      </c>
      <c r="X76" t="n">
        <v>2</v>
      </c>
      <c r="Y76">
        <f>SUM(F72:W72)</f>
        <v/>
      </c>
    </row>
    <row r="77">
      <c r="A77" t="inlineStr">
        <is>
          <t>PS</t>
        </is>
      </c>
      <c r="C77" t="inlineStr">
        <is>
          <t>PS</t>
        </is>
      </c>
      <c r="E77" t="inlineStr">
        <is>
          <t>Other</t>
        </is>
      </c>
      <c r="U77" t="n">
        <v>192</v>
      </c>
      <c r="V77" t="n">
        <v>96</v>
      </c>
      <c r="W77" t="n">
        <v>208</v>
      </c>
      <c r="X77" t="n">
        <v>144</v>
      </c>
      <c r="Y77">
        <f>SUM(F73:W73)</f>
        <v/>
      </c>
    </row>
    <row r="78">
      <c r="A78" t="inlineStr">
        <is>
          <t>PS per DLC DC Rack</t>
        </is>
      </c>
      <c r="C78" t="inlineStr">
        <is>
          <t>PS per DLC DC Rack</t>
        </is>
      </c>
      <c r="E78" t="inlineStr">
        <is>
          <t>Other</t>
        </is>
      </c>
      <c r="U78" t="n">
        <v>4</v>
      </c>
      <c r="V78" t="n">
        <v>4</v>
      </c>
      <c r="W78" t="n">
        <v>4</v>
      </c>
      <c r="X78" t="n">
        <v>4</v>
      </c>
      <c r="Y78">
        <f>SUM(F74:W74)</f>
        <v/>
      </c>
    </row>
    <row r="79">
      <c r="A79" t="inlineStr">
        <is>
          <t>SN2201 , 1U , C2P</t>
        </is>
      </c>
      <c r="B79" t="inlineStr">
        <is>
          <t>48 × RJ45 10/100/1000BASE‑T ports PLUS 4 × QSFP28 ports (can be used as 4×100 GbE, or broken out to lower speeds like 4×25 GbE, etc.)</t>
        </is>
      </c>
      <c r="E79" t="inlineStr">
        <is>
          <t>Cables</t>
        </is>
      </c>
      <c r="G79" t="n">
        <v>20</v>
      </c>
      <c r="H79" t="n">
        <v>195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Y79">
        <f>SUM(F75:W75)</f>
        <v/>
      </c>
    </row>
    <row r="80">
      <c r="A80" t="inlineStr">
        <is>
          <t>SN2201 AC</t>
        </is>
      </c>
      <c r="C80" t="inlineStr">
        <is>
          <t>SN2201 AC</t>
        </is>
      </c>
      <c r="E80" t="inlineStr">
        <is>
          <t>Other</t>
        </is>
      </c>
      <c r="U80" t="n">
        <v>90</v>
      </c>
      <c r="V80" t="n">
        <v>90</v>
      </c>
      <c r="W80" t="n">
        <v>187</v>
      </c>
      <c r="X80" t="n">
        <v>115</v>
      </c>
      <c r="Y80">
        <f>SUM(F76:W76)</f>
        <v/>
      </c>
    </row>
    <row r="81">
      <c r="A81" t="inlineStr">
        <is>
          <t>SN4700</t>
        </is>
      </c>
      <c r="C81" t="inlineStr">
        <is>
          <t>SN4700</t>
        </is>
      </c>
      <c r="E81" t="inlineStr">
        <is>
          <t>Other</t>
        </is>
      </c>
      <c r="U81" t="n">
        <v>24</v>
      </c>
      <c r="V81" t="n">
        <v>24</v>
      </c>
      <c r="W81" t="n">
        <v>42</v>
      </c>
      <c r="X81" t="n">
        <v>26</v>
      </c>
      <c r="Y81">
        <f>SUM(F77:W77)</f>
        <v/>
      </c>
    </row>
    <row r="82">
      <c r="A82" t="inlineStr">
        <is>
          <t>SN5610</t>
        </is>
      </c>
      <c r="C82" t="inlineStr">
        <is>
          <t>SN5610</t>
        </is>
      </c>
      <c r="E82" t="inlineStr">
        <is>
          <t>Other</t>
        </is>
      </c>
      <c r="U82" t="n">
        <v>86</v>
      </c>
      <c r="V82" t="n">
        <v>86</v>
      </c>
      <c r="W82" t="n">
        <v>230</v>
      </c>
      <c r="X82" t="n">
        <v>134</v>
      </c>
      <c r="Y82">
        <f>SUM(F78:W78)</f>
        <v/>
      </c>
    </row>
    <row r="83">
      <c r="A83" t="inlineStr">
        <is>
          <t>SN6800-LD</t>
        </is>
      </c>
      <c r="C83" t="inlineStr">
        <is>
          <t>SN6800-LD</t>
        </is>
      </c>
      <c r="E83" t="inlineStr">
        <is>
          <t>Switch</t>
        </is>
      </c>
      <c r="V83" t="n">
        <v>96</v>
      </c>
      <c r="W83" t="n">
        <v>208</v>
      </c>
      <c r="X83" t="n">
        <v>144</v>
      </c>
      <c r="Y83">
        <f>SUM(F79:W79)</f>
        <v/>
      </c>
    </row>
    <row r="84">
      <c r="A84" t="inlineStr">
        <is>
          <t>SN6810-LD</t>
        </is>
      </c>
      <c r="C84" t="inlineStr">
        <is>
          <t>SN6810-LD</t>
        </is>
      </c>
      <c r="E84" t="inlineStr">
        <is>
          <t>Switch</t>
        </is>
      </c>
      <c r="U84" t="n">
        <v>384</v>
      </c>
      <c r="Y84">
        <f>SUM(F80:W80)</f>
        <v/>
      </c>
    </row>
    <row r="85">
      <c r="A85" t="inlineStr">
        <is>
          <t>Shuffle 4x4 units</t>
        </is>
      </c>
      <c r="B85" t="inlineStr">
        <is>
          <t>CommScope</t>
        </is>
      </c>
      <c r="E85" t="inlineStr">
        <is>
          <t>Rack</t>
        </is>
      </c>
      <c r="G85" t="n">
        <v>0</v>
      </c>
      <c r="H85" t="n">
        <v>0</v>
      </c>
      <c r="I85" t="n">
        <v>144</v>
      </c>
      <c r="J85" t="n">
        <v>0</v>
      </c>
      <c r="K85" t="n">
        <v>18288</v>
      </c>
      <c r="L85" t="n">
        <v>0</v>
      </c>
      <c r="M85" t="n">
        <v>7560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Y85">
        <f>SUM(F81:W81)</f>
        <v/>
      </c>
    </row>
    <row r="86">
      <c r="A86" t="inlineStr">
        <is>
          <t>T1-NtwkRack</t>
        </is>
      </c>
      <c r="C86" t="inlineStr">
        <is>
          <t>T1-NtwkRack</t>
        </is>
      </c>
      <c r="E86" t="inlineStr">
        <is>
          <t>Other</t>
        </is>
      </c>
      <c r="U86" t="n">
        <v>32</v>
      </c>
      <c r="Y86">
        <f>SUM(F82:W82)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"/>
  <sheetViews>
    <sheetView tabSelected="1" topLeftCell="O1" workbookViewId="0">
      <selection activeCell="P1" sqref="P1"/>
    </sheetView>
  </sheetViews>
  <sheetFormatPr baseColWidth="8" defaultRowHeight="14.4"/>
  <cols>
    <col width="20" customWidth="1" min="1" max="24"/>
  </cols>
  <sheetData>
    <row r="1">
      <c r="A1" t="inlineStr">
        <is>
          <t>Model/PN</t>
        </is>
      </c>
      <c r="B1" t="inlineStr">
        <is>
          <t>Description</t>
        </is>
      </c>
      <c r="C1" t="inlineStr">
        <is>
          <t>NVIDIA Generic Part number</t>
        </is>
      </c>
      <c r="D1" t="inlineStr">
        <is>
          <t>Dell PN</t>
        </is>
      </c>
      <c r="E1" t="inlineStr">
        <is>
          <t>Category</t>
        </is>
      </c>
      <c r="F1" t="inlineStr">
        <is>
          <t>Section</t>
        </is>
      </c>
      <c r="G1" t="inlineStr">
        <is>
          <t>BOM - NETWORK - 2026-08-24- IREN -  512 Racks -(B300) - Mackenzie - 512 GPU Storage Testing [Locked]_UNLOCKED.xlsx</t>
        </is>
      </c>
      <c r="H1" t="inlineStr">
        <is>
          <t>BOM - NETWORK - 2026-09-023 - IREN -  256 Racks - 8192-GPU (B300)_GOLDEN.xlsx</t>
        </is>
      </c>
      <c r="I1" t="inlineStr">
        <is>
          <t>BOM - NETWORK - 2026-09-04- IREN - PS - VR72 4x Test Racks [Quote]_UNLOCKED.xlsx</t>
        </is>
      </c>
      <c r="J1" t="inlineStr">
        <is>
          <t>BOM - NETWORK - 2026-09-11- IREN - 50MW 252 Racks - Sweetwater VR NVL72_SN6600-LD_CORE [Quoted]_UNLOCKED.xlsx</t>
        </is>
      </c>
      <c r="K1" t="inlineStr">
        <is>
          <t>BOM - NETWORK - 2026-09-11- IREN - 50MW 252 Racks - Sweetwater VR NVL72_SN6600-LD_DH [Quoted]_UNLOCKED.xlsx</t>
        </is>
      </c>
      <c r="L1" t="inlineStr">
        <is>
          <t>BOM - NETWORK - 2026-09-15- IREN CHLD_HORIZON_210 Racks - VR NVL72_SN6600-LD_Core-GOLDEN [Quoting]_UNLOCKED.xlsx</t>
        </is>
      </c>
      <c r="M1" t="inlineStr">
        <is>
          <t>BOM - NETWORK - 2026-09-15- IREN CHLD_HORIZON_210 Racks - VR NVL72_SN6600-LD_DH_GOLDEN [Quoting]_UNLOCKED.xlsx</t>
        </is>
      </c>
      <c r="N1" t="inlineStr">
        <is>
          <t>BOM - NETWORK - 2026-09-23 - IREN -  256 Racks - 8192-GPU (B200).xlsx</t>
        </is>
      </c>
      <c r="O1" t="inlineStr">
        <is>
          <t>BOM - NETWORK - 2026-09-23 - IREN -  B4-5 256 Racks - 8192-GPU (B200).xlsx</t>
        </is>
      </c>
      <c r="P1" t="inlineStr">
        <is>
          <t>PNL-NETWORK BOM-2026-09-23-Anthropic-Australia_Q1_Q2-21k GPUs VR NVL72.xlsx</t>
        </is>
      </c>
      <c r="Q1" t="inlineStr">
        <is>
          <t>PNL-NETWORK BOM-2026-09-23-Anthropic-Canada_Q2-32k GPUs VR NVL72.xlsx</t>
        </is>
      </c>
      <c r="R1" t="inlineStr">
        <is>
          <t>PNL-NETWORK BOM-2026-09-24-Anthropic-US-Q1-Q2-Cluster1-129k GPUs VR NVL72.xlsx</t>
        </is>
      </c>
      <c r="S1" t="inlineStr">
        <is>
          <t>PNL-NETWORK BOM-2026-09-24-Anthropic-US-Q1-Q2-Cluster2-129k GPUs VR NVL72.xlsx</t>
        </is>
      </c>
      <c r="T1" t="inlineStr">
        <is>
          <t>PNL-NETWORK BOM-2026-09-25-Anthropic-US_Q1_Q2-Cluster3-9k GPUs VR NVL72.xlsx</t>
        </is>
      </c>
      <c r="U1" t="inlineStr">
        <is>
          <t>NScale - NETWORK BOM - Narvik-8k-6810.xlsx</t>
        </is>
      </c>
      <c r="V1" t="inlineStr">
        <is>
          <t>NScale - NETWORK BOM - Narvik-8k-6810.xlsx</t>
        </is>
      </c>
      <c r="W1" t="inlineStr">
        <is>
          <t>NScale - NETWORK BOM - Narvik-8k.xlsx</t>
        </is>
      </c>
      <c r="X1" t="inlineStr">
        <is>
          <t>NScale - NETWORK BOM - Narvik-17k.xlsx</t>
        </is>
      </c>
      <c r="Y1" t="inlineStr">
        <is>
          <t>NScale - NETWORK BOM - US-TBD-18k.xlsx</t>
        </is>
      </c>
    </row>
    <row r="2">
      <c r="A2" t="inlineStr">
        <is>
          <t>Customer</t>
        </is>
      </c>
      <c r="G2" t="inlineStr">
        <is>
          <t>IREN</t>
        </is>
      </c>
      <c r="H2" t="inlineStr">
        <is>
          <t>IREN</t>
        </is>
      </c>
      <c r="I2" t="inlineStr">
        <is>
          <t>IREN</t>
        </is>
      </c>
      <c r="J2" t="inlineStr">
        <is>
          <t>IREN</t>
        </is>
      </c>
      <c r="K2" t="inlineStr">
        <is>
          <t>IREN</t>
        </is>
      </c>
      <c r="L2" t="inlineStr">
        <is>
          <t>IREN</t>
        </is>
      </c>
      <c r="M2" t="inlineStr">
        <is>
          <t>IREN</t>
        </is>
      </c>
      <c r="N2" t="inlineStr">
        <is>
          <t>IREN</t>
        </is>
      </c>
      <c r="O2" t="inlineStr">
        <is>
          <t>IREN</t>
        </is>
      </c>
      <c r="P2" t="inlineStr">
        <is>
          <t>Anthropic</t>
        </is>
      </c>
      <c r="Q2" t="inlineStr">
        <is>
          <t>Anthropic</t>
        </is>
      </c>
      <c r="R2" t="inlineStr">
        <is>
          <t>Anthropic</t>
        </is>
      </c>
      <c r="S2" t="inlineStr">
        <is>
          <t>Anthropic</t>
        </is>
      </c>
      <c r="T2" t="inlineStr">
        <is>
          <t>Anthropic</t>
        </is>
      </c>
      <c r="U2" t="inlineStr">
        <is>
          <t>NScale</t>
        </is>
      </c>
      <c r="V2" t="inlineStr">
        <is>
          <t>NScale</t>
        </is>
      </c>
      <c r="W2" t="inlineStr">
        <is>
          <t>NScale</t>
        </is>
      </c>
      <c r="X2" t="inlineStr">
        <is>
          <t>NScale</t>
        </is>
      </c>
      <c r="Y2" t="inlineStr">
        <is>
          <t>NScale</t>
        </is>
      </c>
    </row>
    <row r="3">
      <c r="A3" t="inlineStr">
        <is>
          <t>Location</t>
        </is>
      </c>
      <c r="G3" t="inlineStr">
        <is>
          <t>Childress, Tx</t>
        </is>
      </c>
      <c r="H3" t="inlineStr">
        <is>
          <t>Childress, Tx</t>
        </is>
      </c>
      <c r="I3" t="inlineStr">
        <is>
          <t>Prince George</t>
        </is>
      </c>
      <c r="J3" t="inlineStr">
        <is>
          <t>Sweetwater</t>
        </is>
      </c>
      <c r="K3" t="inlineStr">
        <is>
          <t>Sweetwater</t>
        </is>
      </c>
      <c r="L3" t="inlineStr">
        <is>
          <t>Childress, Tx</t>
        </is>
      </c>
      <c r="M3" t="inlineStr">
        <is>
          <t>Childress, Tx</t>
        </is>
      </c>
      <c r="N3" t="inlineStr">
        <is>
          <t>Childress, Tx</t>
        </is>
      </c>
      <c r="O3" t="inlineStr">
        <is>
          <t>Childress, Tx</t>
        </is>
      </c>
      <c r="P3" t="inlineStr">
        <is>
          <t>Australia</t>
        </is>
      </c>
      <c r="Q3" t="inlineStr">
        <is>
          <t>Canada</t>
        </is>
      </c>
      <c r="R3" t="inlineStr">
        <is>
          <t>US-Cluster1</t>
        </is>
      </c>
      <c r="S3" t="inlineStr">
        <is>
          <t>US-Cluster2</t>
        </is>
      </c>
      <c r="T3" t="inlineStr">
        <is>
          <t>US-Cluster3</t>
        </is>
      </c>
      <c r="U3" t="inlineStr">
        <is>
          <t>Narvik-8k-6810</t>
        </is>
      </c>
      <c r="V3" t="inlineStr">
        <is>
          <t>Narvik-8k-6810</t>
        </is>
      </c>
      <c r="W3" t="inlineStr">
        <is>
          <t>Narvik-8k</t>
        </is>
      </c>
      <c r="X3" t="inlineStr">
        <is>
          <t>Narvik-17k</t>
        </is>
      </c>
      <c r="Y3" t="inlineStr">
        <is>
          <t>US-TBD-18k</t>
        </is>
      </c>
    </row>
    <row r="4">
      <c r="A4" t="inlineStr">
        <is>
          <t># of Bldg</t>
        </is>
      </c>
      <c r="I4" t="inlineStr">
        <is>
          <t>1</t>
        </is>
      </c>
      <c r="J4" t="inlineStr">
        <is>
          <t>4 Phases</t>
        </is>
      </c>
      <c r="K4" t="inlineStr">
        <is>
          <t>4 Phases</t>
        </is>
      </c>
      <c r="L4" t="inlineStr">
        <is>
          <t>2 Phases</t>
        </is>
      </c>
      <c r="M4" t="inlineStr">
        <is>
          <t>2 Phases</t>
        </is>
      </c>
      <c r="P4" t="inlineStr">
        <is>
          <t>3 Locations</t>
        </is>
      </c>
      <c r="Q4" t="inlineStr">
        <is>
          <t>3 Locations</t>
        </is>
      </c>
      <c r="R4" t="inlineStr">
        <is>
          <t>3 Locations</t>
        </is>
      </c>
      <c r="S4" t="inlineStr">
        <is>
          <t>3 Locations</t>
        </is>
      </c>
      <c r="T4" t="inlineStr">
        <is>
          <t>3 Locations</t>
        </is>
      </c>
      <c r="U4" t="inlineStr">
        <is>
          <t>3 Clusters</t>
        </is>
      </c>
      <c r="V4" t="inlineStr">
        <is>
          <t>3 Clusters</t>
        </is>
      </c>
      <c r="W4" t="inlineStr">
        <is>
          <t>3 Clusters</t>
        </is>
      </c>
      <c r="X4" t="inlineStr">
        <is>
          <t>3 Clusters</t>
        </is>
      </c>
    </row>
    <row r="5">
      <c r="A5" t="inlineStr">
        <is>
          <t>Focus ID</t>
        </is>
      </c>
      <c r="I5" t="inlineStr">
        <is>
          <t>FOCUS-2657</t>
        </is>
      </c>
      <c r="J5" t="inlineStr">
        <is>
          <t>FOCUS-2586</t>
        </is>
      </c>
      <c r="K5" t="inlineStr">
        <is>
          <t>FOCUS-2586</t>
        </is>
      </c>
      <c r="L5" t="inlineStr">
        <is>
          <t>FOCUS-2587</t>
        </is>
      </c>
      <c r="M5" t="inlineStr">
        <is>
          <t>FOCUS-2587</t>
        </is>
      </c>
      <c r="P5" t="inlineStr">
        <is>
          <t>FOCUS-2116</t>
        </is>
      </c>
      <c r="Q5" t="inlineStr">
        <is>
          <t>FOCUS-2116</t>
        </is>
      </c>
      <c r="R5" t="inlineStr">
        <is>
          <t>FOCUS-2116</t>
        </is>
      </c>
      <c r="S5" t="inlineStr">
        <is>
          <t>FOCUS-2116</t>
        </is>
      </c>
      <c r="T5" t="inlineStr">
        <is>
          <t>FOCUS-2116</t>
        </is>
      </c>
      <c r="U5" t="inlineStr">
        <is>
          <t>FOCUS-1364</t>
        </is>
      </c>
      <c r="V5" t="inlineStr">
        <is>
          <t>FOCUS-1364</t>
        </is>
      </c>
      <c r="W5" t="inlineStr">
        <is>
          <t>FOCUS-1364</t>
        </is>
      </c>
      <c r="X5" t="inlineStr">
        <is>
          <t>FOCUS-1364</t>
        </is>
      </c>
    </row>
    <row r="6">
      <c r="A6" t="inlineStr">
        <is>
          <t>SFDC ID</t>
        </is>
      </c>
      <c r="I6" t="inlineStr">
        <is>
          <t>31064701</t>
        </is>
      </c>
      <c r="J6" t="inlineStr">
        <is>
          <t>32103315</t>
        </is>
      </c>
      <c r="K6" t="inlineStr">
        <is>
          <t>32103315</t>
        </is>
      </c>
      <c r="L6" t="inlineStr">
        <is>
          <t>32109457</t>
        </is>
      </c>
      <c r="M6" t="inlineStr">
        <is>
          <t>32109457</t>
        </is>
      </c>
    </row>
    <row r="7">
      <c r="A7" t="inlineStr">
        <is>
          <t>Target Start Date</t>
        </is>
      </c>
      <c r="I7" t="inlineStr">
        <is>
          <t>2026-01-28</t>
        </is>
      </c>
      <c r="J7" t="inlineStr">
        <is>
          <t>2026-06-05</t>
        </is>
      </c>
      <c r="K7" t="inlineStr">
        <is>
          <t>2026-06-05</t>
        </is>
      </c>
      <c r="L7" t="inlineStr">
        <is>
          <t>2026-06-05</t>
        </is>
      </c>
      <c r="M7" t="inlineStr">
        <is>
          <t>2026-06-05</t>
        </is>
      </c>
      <c r="P7" t="inlineStr">
        <is>
          <t>2027-02-07</t>
        </is>
      </c>
      <c r="Q7" t="inlineStr">
        <is>
          <t>2027-02-07</t>
        </is>
      </c>
      <c r="R7" t="inlineStr">
        <is>
          <t>2027-02-07</t>
        </is>
      </c>
      <c r="S7" t="inlineStr">
        <is>
          <t>2027-02-07</t>
        </is>
      </c>
      <c r="T7" t="inlineStr">
        <is>
          <t>2027-02-07</t>
        </is>
      </c>
      <c r="U7" t="inlineStr">
        <is>
          <t>2027-03-31</t>
        </is>
      </c>
      <c r="V7" t="inlineStr">
        <is>
          <t>2027-03-31</t>
        </is>
      </c>
      <c r="W7" t="inlineStr">
        <is>
          <t>2027-03-31</t>
        </is>
      </c>
      <c r="X7" t="inlineStr">
        <is>
          <t>2027-03-31</t>
        </is>
      </c>
    </row>
    <row r="8">
      <c r="A8" t="inlineStr">
        <is>
          <t>Target End Date</t>
        </is>
      </c>
      <c r="I8" t="inlineStr">
        <is>
          <t>2026-11-01</t>
        </is>
      </c>
      <c r="J8" t="inlineStr">
        <is>
          <t>2026-11-01</t>
        </is>
      </c>
      <c r="K8" t="inlineStr">
        <is>
          <t>2026-11-01</t>
        </is>
      </c>
      <c r="L8" t="inlineStr">
        <is>
          <t>2026-11-01</t>
        </is>
      </c>
      <c r="M8" t="inlineStr">
        <is>
          <t>2026-11-01</t>
        </is>
      </c>
      <c r="P8" t="inlineStr">
        <is>
          <t>2027-07-31</t>
        </is>
      </c>
      <c r="Q8" t="inlineStr">
        <is>
          <t>2027-07-31</t>
        </is>
      </c>
      <c r="R8" t="inlineStr">
        <is>
          <t>2027-07-31</t>
        </is>
      </c>
      <c r="S8" t="inlineStr">
        <is>
          <t>2027-07-31</t>
        </is>
      </c>
      <c r="T8" t="inlineStr">
        <is>
          <t>2027-07-31</t>
        </is>
      </c>
      <c r="U8" t="inlineStr">
        <is>
          <t>2027-03-31</t>
        </is>
      </c>
      <c r="V8" t="inlineStr">
        <is>
          <t>2027-03-31</t>
        </is>
      </c>
      <c r="W8" t="inlineStr">
        <is>
          <t>2027-03-31</t>
        </is>
      </c>
      <c r="X8" t="inlineStr">
        <is>
          <t>2027-03-31</t>
        </is>
      </c>
    </row>
    <row r="9">
      <c r="A9" t="inlineStr">
        <is>
          <t>470-ABGH</t>
        </is>
      </c>
      <c r="B9" t="inlineStr">
        <is>
          <t>CBL-MPO12-4LC-SM-5M</t>
        </is>
      </c>
      <c r="E9" t="inlineStr">
        <is>
          <t>Cables</t>
        </is>
      </c>
      <c r="G9" t="n">
        <v>92</v>
      </c>
      <c r="H9" t="n">
        <v>0</v>
      </c>
      <c r="I9" t="n">
        <v>0</v>
      </c>
      <c r="J9" t="n">
        <v>16</v>
      </c>
      <c r="K9" t="n">
        <v>360</v>
      </c>
      <c r="L9" t="n">
        <v>32</v>
      </c>
      <c r="M9" t="n">
        <v>128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Y9">
        <f>SUM(F5:W5)</f>
        <v/>
      </c>
    </row>
    <row r="10">
      <c r="A10" t="inlineStr">
        <is>
          <t>920-9N110-00F1-0C0</t>
        </is>
      </c>
      <c r="B10" t="inlineStr">
        <is>
          <t>NVDA SN2201 48x1GBaseT, 1U, 2AC PSU, P2C (P/I) Airflow, w/ Cumulus[MSN2201-CB2FC]</t>
        </is>
      </c>
      <c r="C10" t="inlineStr">
        <is>
          <t>920-9N110-00F1-0C0</t>
        </is>
      </c>
      <c r="D10" t="inlineStr">
        <is>
          <t>FTV62</t>
        </is>
      </c>
      <c r="E10" t="inlineStr">
        <is>
          <t>Switch</t>
        </is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Y10">
        <f>SUM(F6:W6)</f>
        <v/>
      </c>
    </row>
    <row r="11">
      <c r="A11" t="inlineStr">
        <is>
          <t>920-9N110-00R1- 0C0</t>
        </is>
      </c>
      <c r="B11" t="inlineStr">
        <is>
          <t>NVDA SN2201 48x1GBaseT, 1U, 2AC PSU, C2P (I/P) Airflow, w/ Cumulus[MSN2201-CB2RC]</t>
        </is>
      </c>
      <c r="C11" t="inlineStr">
        <is>
          <t>920-9N110-00R1-0C0</t>
        </is>
      </c>
      <c r="D11" t="inlineStr">
        <is>
          <t>TX78X</t>
        </is>
      </c>
      <c r="E11" t="inlineStr">
        <is>
          <t>Switch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205</v>
      </c>
      <c r="O11" t="n">
        <v>198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Y11">
        <f>SUM(F7:W7)</f>
        <v/>
      </c>
    </row>
    <row r="12">
      <c r="A12" t="inlineStr">
        <is>
          <t>920-9N110-00R1-NC0</t>
        </is>
      </c>
      <c r="B12" t="inlineStr">
        <is>
          <t>SN2201 48x1G + 4x100G, DC Busbar Air Cooled</t>
        </is>
      </c>
      <c r="C12" t="inlineStr">
        <is>
          <t>920-9N110-00R1-NC0</t>
        </is>
      </c>
      <c r="D12" t="inlineStr">
        <is>
          <t>J2MV9</t>
        </is>
      </c>
      <c r="E12" t="inlineStr">
        <is>
          <t>Switch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116</v>
      </c>
      <c r="Q12" t="n">
        <v>160</v>
      </c>
      <c r="R12" t="n">
        <v>764</v>
      </c>
      <c r="S12" t="n">
        <v>764</v>
      </c>
      <c r="T12" t="n">
        <v>52</v>
      </c>
      <c r="Y12">
        <f>SUM(F8:W8)</f>
        <v/>
      </c>
    </row>
    <row r="13">
      <c r="A13" t="inlineStr">
        <is>
          <t>920-9N110-01R1-NC0 (DPN: J2MV9)</t>
        </is>
      </c>
      <c r="B13" t="inlineStr">
        <is>
          <t>NVDA SN2201 48x1G (BT), 2AC PSU, C2P (I/P) Airflow, w/ BusBar, w/ Cumulus[MSN2201-CSMRC]</t>
        </is>
      </c>
      <c r="C13" t="inlineStr">
        <is>
          <t>920-9N110-00R1-NC0</t>
        </is>
      </c>
      <c r="D13" t="inlineStr">
        <is>
          <t>J2MV9</t>
        </is>
      </c>
      <c r="E13" t="inlineStr">
        <is>
          <t>Switch</t>
        </is>
      </c>
      <c r="G13" t="n">
        <v>0</v>
      </c>
      <c r="H13" t="n">
        <v>0</v>
      </c>
      <c r="I13" t="n">
        <v>8</v>
      </c>
      <c r="J13" t="n">
        <v>21</v>
      </c>
      <c r="K13" t="n">
        <v>92</v>
      </c>
      <c r="L13" t="n">
        <v>28</v>
      </c>
      <c r="M13" t="n">
        <v>75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Y13">
        <f>SUM(F9:W9)</f>
        <v/>
      </c>
    </row>
    <row r="14">
      <c r="A14" t="inlineStr">
        <is>
          <t>920-9N301-00RB-0C0</t>
        </is>
      </c>
      <c r="B14" t="inlineStr">
        <is>
          <t>NVDA SN4700 400GbE, 32xQSFPDD, 1U, 2AC PSU, C2P (I/P) Airflow, w/ Cumulus[MSN4700-WS2RC]</t>
        </is>
      </c>
      <c r="C14" t="inlineStr">
        <is>
          <t>920-9N301-00RB-0C0</t>
        </is>
      </c>
      <c r="D14" t="inlineStr">
        <is>
          <t>7F0JN</t>
        </is>
      </c>
      <c r="E14" t="inlineStr">
        <is>
          <t>Switch</t>
        </is>
      </c>
      <c r="G14" t="n">
        <v>2</v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4</v>
      </c>
      <c r="P14" t="n">
        <v>6</v>
      </c>
      <c r="Q14" t="n">
        <v>6</v>
      </c>
      <c r="R14" t="n">
        <v>8</v>
      </c>
      <c r="S14" t="n">
        <v>8</v>
      </c>
      <c r="T14" t="n">
        <v>6</v>
      </c>
      <c r="Y14">
        <f>SUM(F10:W10)</f>
        <v/>
      </c>
    </row>
    <row r="15">
      <c r="A15" t="inlineStr">
        <is>
          <t>920-9N301-00RB-NC0</t>
        </is>
      </c>
      <c r="B15" t="inlineStr">
        <is>
          <t>SN4700D, Spectrum-3 based 400GbE 1U Open Ethernet Switch, 32 QSFPDD ports, 48VDC Busbar, x86 CPU, standard depth, C2P airflow, Rail Kit, with Cumulus</t>
        </is>
      </c>
      <c r="C15" t="inlineStr">
        <is>
          <t>920-9N301-00RB-NC0</t>
        </is>
      </c>
      <c r="E15" t="inlineStr">
        <is>
          <t>Switch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</v>
      </c>
      <c r="Q15" t="n">
        <v>64</v>
      </c>
      <c r="R15" t="n">
        <v>256</v>
      </c>
      <c r="S15" t="n">
        <v>256</v>
      </c>
      <c r="T15" t="n">
        <v>18</v>
      </c>
      <c r="Y15">
        <f>SUM(F11:W11)</f>
        <v/>
      </c>
    </row>
    <row r="16">
      <c r="A16" t="inlineStr">
        <is>
          <t>920-9N42F-00RI-3C1</t>
        </is>
      </c>
      <c r="B16" t="inlineStr">
        <is>
          <t>NVDA SN5610 2U 64xOSFP112, 4xAC PSU, C2P (I/P) Airflow, w/ Cumulus[MSN5610???]</t>
        </is>
      </c>
      <c r="C16" t="inlineStr">
        <is>
          <t>920-9N42F-00RI-3C1</t>
        </is>
      </c>
      <c r="D16" t="inlineStr">
        <is>
          <t>52MJM</t>
        </is>
      </c>
      <c r="E16" t="inlineStr">
        <is>
          <t>Switch</t>
        </is>
      </c>
      <c r="G16" t="n">
        <v>46</v>
      </c>
      <c r="H16" t="n">
        <v>428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Y16">
        <f>SUM(F12:W12)</f>
        <v/>
      </c>
    </row>
    <row r="17">
      <c r="A17" t="inlineStr">
        <is>
          <t>920-9N42F-00RI-KC0</t>
        </is>
      </c>
      <c r="B17" t="inlineStr">
        <is>
          <t>NVDA SN5600D 2U 64xOSFP112, DC BusBar, C2P (I/P) Airflow, w/ Cumulus[MSN5600D???]</t>
        </is>
      </c>
      <c r="C17" t="inlineStr">
        <is>
          <t>920-9N42F-00RI-KC0</t>
        </is>
      </c>
      <c r="D17" t="inlineStr">
        <is>
          <t>CTT0V</t>
        </is>
      </c>
      <c r="E17" t="inlineStr">
        <is>
          <t>Switch</t>
        </is>
      </c>
      <c r="G17" t="n">
        <v>0</v>
      </c>
      <c r="H17" t="n">
        <v>0</v>
      </c>
      <c r="I17" t="n">
        <v>0</v>
      </c>
      <c r="J17" t="n">
        <v>70</v>
      </c>
      <c r="K17" t="n">
        <v>338</v>
      </c>
      <c r="L17" t="n">
        <v>94</v>
      </c>
      <c r="M17" t="n">
        <v>280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Y17">
        <f>SUM(F13:W13)</f>
        <v/>
      </c>
    </row>
    <row r="18">
      <c r="A18" t="inlineStr">
        <is>
          <t>920-9N62F-00LI-GC1</t>
        </is>
      </c>
      <c r="B18" t="inlineStr">
        <is>
          <t>SN6600-LD - NVIDIA Spectrum-6 based 800GbE Ethernet switch with Cumulus Linux Authentication, 64 OSFP, 1 QSFP112, 48VDC Busbar, 8-Cores CPU, Secure-boot, Liquid-Cooling, Rail-Kit.</t>
        </is>
      </c>
      <c r="C18" t="inlineStr">
        <is>
          <t>920-9N62F-00LI-GC1</t>
        </is>
      </c>
      <c r="D18" t="inlineStr">
        <is>
          <t>3KF5K</t>
        </is>
      </c>
      <c r="E18" t="inlineStr">
        <is>
          <t>Switch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1176</v>
      </c>
      <c r="Q18" t="n">
        <v>1528</v>
      </c>
      <c r="R18" t="n">
        <v>6112</v>
      </c>
      <c r="S18" t="n">
        <v>6112</v>
      </c>
      <c r="T18" t="n">
        <v>544</v>
      </c>
      <c r="Y18">
        <f>SUM(F14:W14)</f>
        <v/>
      </c>
    </row>
    <row r="19">
      <c r="A19" t="inlineStr">
        <is>
          <t>980-9I042-00C000</t>
        </is>
      </c>
      <c r="B19" t="inlineStr">
        <is>
          <t>NVDA XCVR, 100GbE, QSFP28, LC, 1310nm, Single Mode 1-lane (DR1), IP[MMS1V70-CM]</t>
        </is>
      </c>
      <c r="C19" t="inlineStr">
        <is>
          <t>980-9I042-00C000</t>
        </is>
      </c>
      <c r="D19" t="inlineStr">
        <is>
          <t>8XTGF</t>
        </is>
      </c>
      <c r="E19" t="inlineStr">
        <is>
          <t>Transceiver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1502</v>
      </c>
      <c r="Q19" t="n">
        <v>2250</v>
      </c>
      <c r="R19" t="n">
        <v>9222</v>
      </c>
      <c r="S19" t="n">
        <v>9222</v>
      </c>
      <c r="T19" t="n">
        <v>654</v>
      </c>
      <c r="Y19">
        <f>SUM(F15:W15)</f>
        <v/>
      </c>
    </row>
    <row r="20">
      <c r="A20" t="inlineStr">
        <is>
          <t>980-9I16Y-00W000</t>
        </is>
      </c>
      <c r="B20" t="inlineStr">
        <is>
          <t>NVDA  400G to 4x100, QSFD-DD,MPO,1310nm SMF, up to 500m, DR4 [MMS1V00-WM]</t>
        </is>
      </c>
      <c r="C20" t="inlineStr">
        <is>
          <t>980-9I16Y-00W000</t>
        </is>
      </c>
      <c r="D20" t="inlineStr">
        <is>
          <t>NRW8Y</t>
        </is>
      </c>
      <c r="E20" t="inlineStr">
        <is>
          <t>Transceiver</t>
        </is>
      </c>
      <c r="G20" t="n">
        <v>48</v>
      </c>
      <c r="H20" t="n">
        <v>32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16</v>
      </c>
      <c r="O20" t="n">
        <v>16</v>
      </c>
      <c r="P20" t="n">
        <v>67</v>
      </c>
      <c r="Q20" t="n">
        <v>89</v>
      </c>
      <c r="R20" t="n">
        <v>2183</v>
      </c>
      <c r="S20" t="n">
        <v>2183</v>
      </c>
      <c r="T20" t="n">
        <v>152</v>
      </c>
      <c r="Y20">
        <f>SUM(F16:W16)</f>
        <v/>
      </c>
    </row>
    <row r="21">
      <c r="A21" t="inlineStr">
        <is>
          <t>980-9I30G-F4NM00</t>
        </is>
      </c>
      <c r="B21" t="inlineStr">
        <is>
          <t>NVDA twin port XCVR, 800GbE,2x400,IPonly,O112,2xMPO12 APC,1310N SMF,to 500m,finned HIS[MMS4X00-NM-T]</t>
        </is>
      </c>
      <c r="C21" t="inlineStr">
        <is>
          <t>980-9I30G-F4NM00</t>
        </is>
      </c>
      <c r="D21" t="inlineStr">
        <is>
          <t>YW1C0</t>
        </is>
      </c>
      <c r="E21" t="inlineStr">
        <is>
          <t>Transceiver</t>
        </is>
      </c>
      <c r="G21" t="n">
        <v>0</v>
      </c>
      <c r="H21" t="n">
        <v>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792</v>
      </c>
      <c r="O21" t="n">
        <v>840</v>
      </c>
      <c r="P21" t="n">
        <v>16</v>
      </c>
      <c r="Q21" t="n">
        <v>21</v>
      </c>
      <c r="R21" t="n">
        <v>70</v>
      </c>
      <c r="S21" t="n">
        <v>70</v>
      </c>
      <c r="T21" t="n">
        <v>10</v>
      </c>
      <c r="Y21">
        <f>SUM(F17:W17)</f>
        <v/>
      </c>
    </row>
    <row r="22">
      <c r="A22" t="inlineStr">
        <is>
          <t>980-9IAJ0-00XM00</t>
        </is>
      </c>
      <c r="B22" t="inlineStr">
        <is>
          <t>NVIDIA twin port XCVR, 2xDR4,1600Gbps,OSFP, 2xMPO(APC), 1310nm SMF, up to 500m, RHS, TRO, IP Only</t>
        </is>
      </c>
      <c r="C22" t="inlineStr">
        <is>
          <t>980-9IAJ0-00XM00</t>
        </is>
      </c>
      <c r="D22" t="inlineStr">
        <is>
          <t>M5G88</t>
        </is>
      </c>
      <c r="E22" t="inlineStr">
        <is>
          <t>Transceiver</t>
        </is>
      </c>
      <c r="G22" t="n">
        <v>0</v>
      </c>
      <c r="H22" t="n">
        <v>0</v>
      </c>
      <c r="I22" t="n">
        <v>288</v>
      </c>
      <c r="J22" t="n">
        <v>0</v>
      </c>
      <c r="K22" t="n">
        <v>54432</v>
      </c>
      <c r="L22" t="n">
        <v>15120</v>
      </c>
      <c r="M22" t="n">
        <v>30240</v>
      </c>
      <c r="N22" t="n">
        <v>0</v>
      </c>
      <c r="O22" t="n">
        <v>0</v>
      </c>
      <c r="P22" t="n">
        <v>84672</v>
      </c>
      <c r="Q22" t="n">
        <v>129024</v>
      </c>
      <c r="R22" t="n">
        <v>516096</v>
      </c>
      <c r="S22" t="n">
        <v>516096</v>
      </c>
      <c r="T22" t="n">
        <v>27360</v>
      </c>
      <c r="Y22">
        <f>SUM(F18:W18)</f>
        <v/>
      </c>
    </row>
    <row r="23">
      <c r="A23" t="inlineStr">
        <is>
          <t>A7204378</t>
        </is>
      </c>
      <c r="B23" t="inlineStr">
        <is>
          <t>Switch Xcvr to LC Patch Panel LC-LC short leg patch cable, Other end is MPO to 4xLC to OOB Spine</t>
        </is>
      </c>
      <c r="E23" t="inlineStr">
        <is>
          <t>Cables</t>
        </is>
      </c>
      <c r="G23" t="n">
        <v>0</v>
      </c>
      <c r="H23" t="n">
        <v>0</v>
      </c>
      <c r="I23" t="n">
        <v>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Y23">
        <f>SUM(F19:W19)</f>
        <v/>
      </c>
    </row>
    <row r="24">
      <c r="A24" t="inlineStr">
        <is>
          <t>Aircool AC Rack</t>
        </is>
      </c>
      <c r="C24" t="inlineStr">
        <is>
          <t>Aircool AC Rack</t>
        </is>
      </c>
      <c r="E24" t="inlineStr">
        <is>
          <t>Other</t>
        </is>
      </c>
      <c r="U24" t="n">
        <v>28</v>
      </c>
      <c r="V24" t="n">
        <v>28</v>
      </c>
      <c r="W24" t="n">
        <v>50</v>
      </c>
      <c r="X24" t="n">
        <v>32</v>
      </c>
      <c r="Y24">
        <f>SUM(F20:W20)</f>
        <v/>
      </c>
    </row>
    <row r="25">
      <c r="A25" t="inlineStr">
        <is>
          <t>C4X6C VSR4</t>
        </is>
      </c>
      <c r="B25" t="inlineStr">
        <is>
          <t>Hisense 80C multi‑mode QSFP112 transceiver</t>
        </is>
      </c>
      <c r="E25" t="inlineStr">
        <is>
          <t>Transceiver</t>
        </is>
      </c>
      <c r="G25" t="n">
        <v>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Y25">
        <f>SUM(F21:W21)</f>
        <v/>
      </c>
    </row>
    <row r="26">
      <c r="A26" t="inlineStr">
        <is>
          <t>CAT6 Thin 10M</t>
        </is>
      </c>
      <c r="C26" t="inlineStr">
        <is>
          <t>CAT6 Thin 10M</t>
        </is>
      </c>
      <c r="E26" t="inlineStr">
        <is>
          <t>Other</t>
        </is>
      </c>
      <c r="U26" t="n">
        <v>4048</v>
      </c>
      <c r="V26" t="n">
        <v>4048</v>
      </c>
      <c r="W26" t="n">
        <v>8510</v>
      </c>
      <c r="X26" t="n">
        <v>5198</v>
      </c>
      <c r="Y26">
        <f>SUM(F22:W22)</f>
        <v/>
      </c>
    </row>
    <row r="27">
      <c r="A27" t="inlineStr">
        <is>
          <t>CAT6 Thin 3M</t>
        </is>
      </c>
      <c r="C27" t="inlineStr">
        <is>
          <t>CAT6 Thin 3M</t>
        </is>
      </c>
      <c r="E27" t="inlineStr">
        <is>
          <t>Other</t>
        </is>
      </c>
      <c r="U27" t="n">
        <v>10304</v>
      </c>
      <c r="V27" t="n">
        <v>10304</v>
      </c>
      <c r="W27" t="n">
        <v>21896</v>
      </c>
      <c r="X27" t="n">
        <v>11592</v>
      </c>
      <c r="Y27">
        <f>SUM(F23:W23)</f>
        <v/>
      </c>
    </row>
    <row r="28">
      <c r="A28" t="inlineStr">
        <is>
          <t>Cat 6 Cable</t>
        </is>
      </c>
      <c r="B28" t="inlineStr">
        <is>
          <t>NVIDIA Spectrum-6 based 800GbE Ethernet switch with Cumulus Linux Authentication, 64 OSFP, 1 QSFP112, 48VDC Busbar, 8-Cores CPU, Secure-boot, Liquid-Cooling, Rail-Kit.D39</t>
        </is>
      </c>
      <c r="E28" t="inlineStr">
        <is>
          <t>Cables</t>
        </is>
      </c>
      <c r="G28" t="n">
        <v>0</v>
      </c>
      <c r="H28" t="n">
        <v>0</v>
      </c>
      <c r="I28" t="n">
        <v>32</v>
      </c>
      <c r="J28" t="n">
        <v>0</v>
      </c>
      <c r="K28" t="n">
        <v>864</v>
      </c>
      <c r="L28" t="n">
        <v>256</v>
      </c>
      <c r="M28" t="n">
        <v>480</v>
      </c>
      <c r="N28" t="n">
        <v>242</v>
      </c>
      <c r="O28" t="n">
        <v>234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Y28">
        <f>SUM(F24:W24)</f>
        <v/>
      </c>
    </row>
    <row r="29">
      <c r="A29" t="inlineStr">
        <is>
          <t>Corning 4x100 Breakout PP</t>
        </is>
      </c>
      <c r="B29" t="inlineStr">
        <is>
          <t>Final Count will come from Actual BOM</t>
        </is>
      </c>
      <c r="E29" t="inlineStr">
        <is>
          <t>Transceiver</t>
        </is>
      </c>
      <c r="G29" t="n">
        <v>0</v>
      </c>
      <c r="H29" t="n">
        <v>0</v>
      </c>
      <c r="I29" t="n">
        <v>0</v>
      </c>
      <c r="J29" t="n">
        <v>0</v>
      </c>
      <c r="K29" t="n">
        <v>24</v>
      </c>
      <c r="L29" t="n">
        <v>8</v>
      </c>
      <c r="M29" t="n">
        <v>24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Y29">
        <f>SUM(F25:W25)</f>
        <v/>
      </c>
    </row>
    <row r="30">
      <c r="A30" t="inlineStr">
        <is>
          <t>D3P20</t>
        </is>
      </c>
      <c r="B30" t="inlineStr">
        <is>
          <t>MOD,CBL,MPO12-APC,SMF,5M</t>
        </is>
      </c>
      <c r="E30" t="inlineStr">
        <is>
          <t>Cables</t>
        </is>
      </c>
      <c r="G30" t="n">
        <v>12</v>
      </c>
      <c r="H30" t="n">
        <v>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Y30">
        <f>SUM(F26:W26)</f>
        <v/>
      </c>
    </row>
    <row r="31">
      <c r="A31" t="inlineStr">
        <is>
          <t>DLC DC Rack</t>
        </is>
      </c>
      <c r="C31" t="inlineStr">
        <is>
          <t>DLC DC Rack</t>
        </is>
      </c>
      <c r="E31" t="inlineStr">
        <is>
          <t>Other</t>
        </is>
      </c>
      <c r="U31" t="n">
        <v>48</v>
      </c>
      <c r="V31" t="n">
        <v>24</v>
      </c>
      <c r="W31" t="n">
        <v>52</v>
      </c>
      <c r="X31" t="n">
        <v>36</v>
      </c>
      <c r="Y31">
        <f>SUM(F27:W27)</f>
        <v/>
      </c>
    </row>
    <row r="32">
      <c r="A32" t="inlineStr">
        <is>
          <t>EDGE-03U-8B2X2G</t>
        </is>
      </c>
      <c r="B32" t="inlineStr">
        <is>
          <t>3U EDGE Shuffling Housing, Holds 8_2x2 Type B Modules for 128 input x 128 output ports</t>
        </is>
      </c>
      <c r="E32" t="inlineStr">
        <is>
          <t>Rack</t>
        </is>
      </c>
      <c r="G32" t="n">
        <v>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Y32">
        <f>SUM(F28:W28)</f>
        <v/>
      </c>
    </row>
    <row r="33">
      <c r="A33" t="inlineStr">
        <is>
          <t>Fiber Jumper Cable</t>
        </is>
      </c>
      <c r="E33" t="inlineStr">
        <is>
          <t>Cables</t>
        </is>
      </c>
      <c r="G33" t="n">
        <v>0</v>
      </c>
      <c r="H33" t="n">
        <v>0</v>
      </c>
      <c r="I33" t="n">
        <v>0</v>
      </c>
      <c r="J33" t="n">
        <v>0</v>
      </c>
      <c r="K33" t="n">
        <v>72576</v>
      </c>
      <c r="L33" t="n">
        <v>0</v>
      </c>
      <c r="M33" t="n">
        <v>30240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Y33">
        <f>SUM(F29:W29)</f>
        <v/>
      </c>
    </row>
    <row r="34">
      <c r="A34" t="inlineStr">
        <is>
          <t>Fiber Jumper cables</t>
        </is>
      </c>
      <c r="B34" t="inlineStr">
        <is>
          <t>Jumper cables from shiuffle box to leaf</t>
        </is>
      </c>
      <c r="E34" t="inlineStr">
        <is>
          <t>Cables</t>
        </is>
      </c>
      <c r="G34" t="n">
        <v>0</v>
      </c>
      <c r="H34" t="n">
        <v>0</v>
      </c>
      <c r="I34" t="n">
        <v>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Y34">
        <f>SUM(F30:W30)</f>
        <v/>
      </c>
    </row>
    <row r="35">
      <c r="A35" t="inlineStr">
        <is>
          <t>Fiber panel T1-NtwkRack</t>
        </is>
      </c>
      <c r="C35" t="inlineStr">
        <is>
          <t>Fiber panel T1-NtwkRack</t>
        </is>
      </c>
      <c r="E35" t="inlineStr">
        <is>
          <t>Rack</t>
        </is>
      </c>
      <c r="U35" t="n">
        <v>256</v>
      </c>
      <c r="Y35">
        <f>SUM(F31:W31)</f>
        <v/>
      </c>
    </row>
    <row r="36">
      <c r="A36" t="inlineStr">
        <is>
          <t>Fiber panel per T1-NtwkRack</t>
        </is>
      </c>
      <c r="C36" t="inlineStr">
        <is>
          <t>Fiber panel per T1-NtwkRack</t>
        </is>
      </c>
      <c r="E36" t="inlineStr">
        <is>
          <t>Rack</t>
        </is>
      </c>
      <c r="U36" t="n">
        <v>8</v>
      </c>
      <c r="Y36">
        <f>SUM(F32:W32)</f>
        <v/>
      </c>
    </row>
    <row r="37">
      <c r="A37" t="inlineStr">
        <is>
          <t>Fiber shuffle cassette</t>
        </is>
      </c>
      <c r="C37" t="inlineStr">
        <is>
          <t>Fiber shuffle cassette</t>
        </is>
      </c>
      <c r="E37" t="inlineStr">
        <is>
          <t>Rack</t>
        </is>
      </c>
      <c r="U37" t="n">
        <v>4032</v>
      </c>
      <c r="Y37">
        <f>SUM(F33:W33)</f>
        <v/>
      </c>
    </row>
    <row r="38">
      <c r="A38" t="inlineStr">
        <is>
          <t>Fiber shuffle cassette per T1-NtwkRack</t>
        </is>
      </c>
      <c r="C38" t="inlineStr">
        <is>
          <t>Fiber shuffle cassette per T1-NtwkRack</t>
        </is>
      </c>
      <c r="E38" t="inlineStr">
        <is>
          <t>Rack</t>
        </is>
      </c>
      <c r="U38" t="n">
        <v>126</v>
      </c>
      <c r="Y38">
        <f>SUM(F34:W34)</f>
        <v/>
      </c>
    </row>
    <row r="39">
      <c r="A39" t="inlineStr">
        <is>
          <t>FiberPanel</t>
        </is>
      </c>
      <c r="B39" t="inlineStr">
        <is>
          <t>2U Panel</t>
        </is>
      </c>
      <c r="C39" t="inlineStr">
        <is>
          <t>FiberPanel</t>
        </is>
      </c>
      <c r="E39" t="inlineStr">
        <is>
          <t>Rack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3584</v>
      </c>
      <c r="S39" t="n">
        <v>3584</v>
      </c>
      <c r="T39" t="n">
        <v>0</v>
      </c>
      <c r="Y39">
        <f>SUM(F35:W35)</f>
        <v/>
      </c>
    </row>
    <row r="40">
      <c r="A40" t="inlineStr">
        <is>
          <t>FiberPanel - 2U</t>
        </is>
      </c>
      <c r="B40" t="inlineStr">
        <is>
          <t>One Patch Panel to rack where SN4700 is installed since 4x100G cable length max size is 5m</t>
        </is>
      </c>
      <c r="E40" t="inlineStr">
        <is>
          <t>Cables</t>
        </is>
      </c>
      <c r="G40" t="n">
        <v>0</v>
      </c>
      <c r="H40" t="n">
        <v>4</v>
      </c>
      <c r="I40" t="n">
        <v>4</v>
      </c>
      <c r="J40" t="n">
        <v>4</v>
      </c>
      <c r="K40" t="n">
        <v>512</v>
      </c>
      <c r="L40" t="n">
        <v>0</v>
      </c>
      <c r="M40" t="n">
        <v>240</v>
      </c>
      <c r="N40" t="n">
        <v>0</v>
      </c>
      <c r="O40" t="n">
        <v>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Y40">
        <f>SUM(F36:W36)</f>
        <v/>
      </c>
    </row>
    <row r="41">
      <c r="A41" t="inlineStr">
        <is>
          <t>Fibre Shuffle Cassettes</t>
        </is>
      </c>
      <c r="B41" t="inlineStr">
        <is>
          <t>Cassette /SU for Leaf Rack GPU to Leaf [Hosted in Leaf rack] - - MPO-8 4x4 Shuffle Module, 4x8f MPO/APC pinned rear to 4X8f MPO/APC pinned front</t>
        </is>
      </c>
      <c r="C41" t="inlineStr">
        <is>
          <t>Fibre Shuffle Cassettes</t>
        </is>
      </c>
      <c r="E41" t="inlineStr">
        <is>
          <t>Rack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10584</v>
      </c>
      <c r="Q41" t="n">
        <v>16128</v>
      </c>
      <c r="R41" t="n">
        <v>129024</v>
      </c>
      <c r="S41" t="n">
        <v>129024</v>
      </c>
      <c r="T41" t="n">
        <v>4536</v>
      </c>
      <c r="Y41">
        <f>SUM(F37:W37)</f>
        <v/>
      </c>
    </row>
    <row r="42">
      <c r="A42" t="inlineStr">
        <is>
          <t>GEDEDU8GPN-008-U030M</t>
        </is>
      </c>
      <c r="B42" t="inlineStr">
        <is>
          <t>288f Trunk, SMF, MPO8 APC Non-pinned to MPO8 APC Non-pinned, Type B Polarity, 8' leg length</t>
        </is>
      </c>
      <c r="E42" t="inlineStr">
        <is>
          <t>Rack</t>
        </is>
      </c>
      <c r="G42" t="n">
        <v>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Y42">
        <f>SUM(F38:W38)</f>
        <v/>
      </c>
    </row>
    <row r="43">
      <c r="A43" t="inlineStr">
        <is>
          <t>IR5000</t>
        </is>
      </c>
      <c r="B43" t="inlineStr">
        <is>
          <t>IR5000/750mm</t>
        </is>
      </c>
      <c r="E43" t="inlineStr">
        <is>
          <t>Rack</t>
        </is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Y43">
        <f>SUM(F39:W39)</f>
        <v/>
      </c>
    </row>
    <row r="44">
      <c r="A44" t="inlineStr">
        <is>
          <t>IR9048</t>
        </is>
      </c>
      <c r="B44" t="inlineStr">
        <is>
          <t>750mm x 1200mm/ 48RU</t>
        </is>
      </c>
      <c r="E44" t="inlineStr">
        <is>
          <t>Rack</t>
        </is>
      </c>
      <c r="G44" t="n">
        <v>4</v>
      </c>
      <c r="H44" t="n">
        <v>0</v>
      </c>
      <c r="I44" t="n">
        <v>0</v>
      </c>
      <c r="J44" t="n">
        <v>11</v>
      </c>
      <c r="K44" t="n">
        <v>36</v>
      </c>
      <c r="L44" t="n">
        <v>13</v>
      </c>
      <c r="M44" t="n">
        <v>30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Y44">
        <f>SUM(F40:W40)</f>
        <v/>
      </c>
    </row>
    <row r="45">
      <c r="A45" t="inlineStr">
        <is>
          <t>IR9148</t>
        </is>
      </c>
      <c r="B45" t="inlineStr">
        <is>
          <t>750mm x 1200mm/ 48RU</t>
        </is>
      </c>
      <c r="E45" t="inlineStr">
        <is>
          <t>Rack</t>
        </is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32</v>
      </c>
      <c r="M45" t="n">
        <v>0</v>
      </c>
      <c r="N45" t="n">
        <v>2</v>
      </c>
      <c r="O45" t="n">
        <v>2</v>
      </c>
      <c r="P45" t="n">
        <v>116</v>
      </c>
      <c r="Q45" t="n">
        <v>160</v>
      </c>
      <c r="R45" t="n">
        <v>764</v>
      </c>
      <c r="S45" t="n">
        <v>764</v>
      </c>
      <c r="T45" t="n">
        <v>52</v>
      </c>
      <c r="Y45">
        <f>SUM(F41:W41)</f>
        <v/>
      </c>
    </row>
    <row r="46">
      <c r="A46" t="inlineStr">
        <is>
          <t>IR9149</t>
        </is>
      </c>
      <c r="B46" t="inlineStr">
        <is>
          <t>IR9000/750mmx1200mm/48U</t>
        </is>
      </c>
      <c r="E46" t="inlineStr">
        <is>
          <t>Rack</t>
        </is>
      </c>
      <c r="G46" t="n">
        <v>0</v>
      </c>
      <c r="H46" t="n">
        <v>0</v>
      </c>
      <c r="I46" t="n">
        <v>0</v>
      </c>
      <c r="J46" t="n">
        <v>0</v>
      </c>
      <c r="K46" t="n">
        <v>40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Y46">
        <f>SUM(F42:W42)</f>
        <v/>
      </c>
    </row>
    <row r="47">
      <c r="A47" t="inlineStr">
        <is>
          <t>J6TD3</t>
        </is>
      </c>
      <c r="B47" t="inlineStr">
        <is>
          <t>CBL-MPO12-4LC-SM-5M</t>
        </is>
      </c>
      <c r="E47" t="inlineStr">
        <is>
          <t>Cables</t>
        </is>
      </c>
      <c r="G47" t="n">
        <v>24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Y47">
        <f>SUM(F43:W43)</f>
        <v/>
      </c>
    </row>
    <row r="48">
      <c r="A48" t="inlineStr">
        <is>
          <t>JEDED08GE8-NB003M</t>
        </is>
      </c>
      <c r="B48" t="inlineStr">
        <is>
          <t>8f Jumper, SMF, MPO8 APC Non-pinned to MPO8 APC Non-pinned, Type B Polarity</t>
        </is>
      </c>
      <c r="E48" t="inlineStr">
        <is>
          <t>Rack</t>
        </is>
      </c>
      <c r="G48" t="n">
        <v>2048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Y48">
        <f>SUM(F44:W44)</f>
        <v/>
      </c>
    </row>
    <row r="49">
      <c r="A49" t="inlineStr">
        <is>
          <t>LC QSFP28-100G-DR1</t>
        </is>
      </c>
      <c r="C49" t="inlineStr">
        <is>
          <t>LC QSFP28-100G-DR1</t>
        </is>
      </c>
      <c r="E49" t="inlineStr">
        <is>
          <t>Other</t>
        </is>
      </c>
      <c r="U49" t="n">
        <v>678</v>
      </c>
      <c r="V49" t="n">
        <v>678</v>
      </c>
      <c r="W49" t="n">
        <v>1412</v>
      </c>
      <c r="X49" t="n">
        <v>788</v>
      </c>
      <c r="Y49">
        <f>SUM(F45:W45)</f>
        <v/>
      </c>
    </row>
    <row r="50">
      <c r="A50" t="inlineStr">
        <is>
          <t>MFP7E10-N05</t>
        </is>
      </c>
      <c r="B50" t="inlineStr">
        <is>
          <t>(MPO‑12) multimode fiber cable Type‑B</t>
        </is>
      </c>
      <c r="E50" t="inlineStr">
        <is>
          <t>Cables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Y50">
        <f>SUM(F46:W46)</f>
        <v/>
      </c>
    </row>
    <row r="51">
      <c r="A51" t="inlineStr">
        <is>
          <t>MFP7E10-N050</t>
        </is>
      </c>
      <c r="B51" t="inlineStr">
        <is>
          <t>MultiMode Fiber 5 meter MPO12/APC OM4</t>
        </is>
      </c>
      <c r="E51" t="inlineStr">
        <is>
          <t>Cables</t>
        </is>
      </c>
      <c r="G51" t="n">
        <v>0</v>
      </c>
      <c r="H51" t="n">
        <v>0</v>
      </c>
      <c r="I51" t="n">
        <v>0</v>
      </c>
      <c r="J51" t="n">
        <v>992</v>
      </c>
      <c r="K51" t="n">
        <v>0</v>
      </c>
      <c r="L51" t="n">
        <v>1488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Y51">
        <f>SUM(F47:W47)</f>
        <v/>
      </c>
    </row>
    <row r="52">
      <c r="A52" t="inlineStr">
        <is>
          <t>MFP7E10‑N005</t>
        </is>
      </c>
      <c r="B52" t="inlineStr">
        <is>
          <t>MultiMode Fiber  MPO12/APC OM4 Type-B - 5 meter</t>
        </is>
      </c>
      <c r="E52" t="inlineStr">
        <is>
          <t>Cables</t>
        </is>
      </c>
      <c r="G52" t="n">
        <v>176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Y52">
        <f>SUM(F48:W48)</f>
        <v/>
      </c>
    </row>
    <row r="53">
      <c r="A53" t="inlineStr">
        <is>
          <t>MFP7E30-N050</t>
        </is>
      </c>
      <c r="B53" t="inlineStr">
        <is>
          <t>MPO-12/APC to MPO-12/APC cable, 1310nm SMF OS2, 100m max, 50 M</t>
        </is>
      </c>
      <c r="E53" t="inlineStr">
        <is>
          <t>Cables</t>
        </is>
      </c>
      <c r="G53" t="n">
        <v>0</v>
      </c>
      <c r="H53" t="n">
        <v>0</v>
      </c>
      <c r="I53" t="n">
        <v>8</v>
      </c>
      <c r="J53" t="n">
        <v>24</v>
      </c>
      <c r="K53" t="n">
        <v>88</v>
      </c>
      <c r="L53" t="n">
        <v>208</v>
      </c>
      <c r="M53" t="n">
        <v>7640</v>
      </c>
      <c r="N53" t="n">
        <v>8</v>
      </c>
      <c r="O53" t="n">
        <v>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>
        <f>SUM(F49:W49)</f>
        <v/>
      </c>
    </row>
    <row r="54">
      <c r="A54" t="inlineStr">
        <is>
          <t>MFP7E40-N050</t>
        </is>
      </c>
      <c r="B54" t="inlineStr">
        <is>
          <t>MPO-12/APC to 2xMPO-12/APC cable, 1310nm SMF OS2, 100m max, 50 M</t>
        </is>
      </c>
      <c r="E54" t="inlineStr">
        <is>
          <t>Cables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1216</v>
      </c>
      <c r="O54" t="n">
        <v>1120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Y54">
        <f>SUM(F50:W50)</f>
        <v/>
      </c>
    </row>
    <row r="55">
      <c r="A55" t="inlineStr">
        <is>
          <t>MMA4Z00-NS</t>
        </is>
      </c>
      <c r="B55" t="inlineStr">
        <is>
          <t>NVDA XCVR, 800Gbps,2xNDR, OSFP, 2xMPO12 APC, 850nm MMF, up to 50m, finned[MMA4Z00-NS]</t>
        </is>
      </c>
      <c r="C55" t="inlineStr">
        <is>
          <t>980-9I510-00NS00</t>
        </is>
      </c>
      <c r="D55" t="inlineStr">
        <is>
          <t>70HK1</t>
        </is>
      </c>
      <c r="E55" t="inlineStr">
        <is>
          <t>Transceiver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Y55">
        <f>SUM(F51:W51)</f>
        <v/>
      </c>
    </row>
    <row r="56">
      <c r="A56" t="inlineStr">
        <is>
          <t>MMA4Z00-NS-FLT</t>
        </is>
      </c>
      <c r="B56" t="inlineStr">
        <is>
          <t>NVDA twin port XCVR,800GbE,2x400,IPonly,O112, 2xMPO12 APC,850nm MMF,to 50m,flat top RHS[MMA4Z00-NS-FLT ]</t>
        </is>
      </c>
      <c r="C56" t="inlineStr">
        <is>
          <t>980-9I51A-00NS00</t>
        </is>
      </c>
      <c r="D56" t="inlineStr">
        <is>
          <t>N72T0</t>
        </is>
      </c>
      <c r="E56" t="inlineStr">
        <is>
          <t>Transceiver</t>
        </is>
      </c>
      <c r="G56" t="n">
        <v>0</v>
      </c>
      <c r="H56" t="n">
        <v>0</v>
      </c>
      <c r="I56" t="n">
        <v>0</v>
      </c>
      <c r="J56" t="n">
        <v>496</v>
      </c>
      <c r="K56" t="n">
        <v>0</v>
      </c>
      <c r="L56" t="n">
        <v>744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Y56">
        <f>SUM(F52:W52)</f>
        <v/>
      </c>
    </row>
    <row r="57">
      <c r="A57" t="inlineStr">
        <is>
          <t>MMA4Z00‑NS</t>
        </is>
      </c>
      <c r="B57" t="inlineStr">
        <is>
          <t>NVDA XCVR, 800Gbps,2xNDR, OSFP, 2xMPO12 APC, 850nm MMF, up to 50m, finned[MMA4Z00-NS]</t>
        </is>
      </c>
      <c r="C57" t="inlineStr">
        <is>
          <t>980-9I510-00NS00</t>
        </is>
      </c>
      <c r="D57" t="inlineStr">
        <is>
          <t>70HK1</t>
        </is>
      </c>
      <c r="E57" t="inlineStr">
        <is>
          <t>Transceiver</t>
        </is>
      </c>
      <c r="G57" t="n">
        <v>0</v>
      </c>
      <c r="H57" t="n">
        <v>0</v>
      </c>
      <c r="I57" t="n">
        <v>0</v>
      </c>
      <c r="J57" t="n">
        <v>496</v>
      </c>
      <c r="K57" t="n">
        <v>0</v>
      </c>
      <c r="L57" t="n">
        <v>744</v>
      </c>
      <c r="M57" t="n">
        <v>0</v>
      </c>
      <c r="N57" t="n">
        <v>0</v>
      </c>
      <c r="O57" t="n">
        <v>94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Y57">
        <f>SUM(F53:W53)</f>
        <v/>
      </c>
    </row>
    <row r="58">
      <c r="A58" t="inlineStr">
        <is>
          <t>MMA4Z00‑NS-T</t>
        </is>
      </c>
      <c r="B58" t="inlineStr">
        <is>
          <t>NVDA twin port XCVR, 800GbE, 2x400, IPonly,O112, 2xMPO12 APC,850nm MMF,to 50m, finned[MMA4Z00-NS-T]</t>
        </is>
      </c>
      <c r="C58" t="inlineStr">
        <is>
          <t>980-9I510-F4NS00</t>
        </is>
      </c>
      <c r="D58" t="inlineStr">
        <is>
          <t>YWX59</t>
        </is>
      </c>
      <c r="E58" t="inlineStr">
        <is>
          <t>Transceiver</t>
        </is>
      </c>
      <c r="G58" t="n">
        <v>88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Y58">
        <f>SUM(F54:W54)</f>
        <v/>
      </c>
    </row>
    <row r="59">
      <c r="A59" t="inlineStr">
        <is>
          <t>MMC12/APC SMF</t>
        </is>
      </c>
      <c r="C59" t="inlineStr">
        <is>
          <t>MMC12/APC SMF</t>
        </is>
      </c>
      <c r="E59" t="inlineStr">
        <is>
          <t>Cables</t>
        </is>
      </c>
      <c r="U59" t="n">
        <v>16384</v>
      </c>
      <c r="V59" t="n">
        <v>16384</v>
      </c>
      <c r="W59" t="n">
        <v>34272</v>
      </c>
      <c r="X59" t="n">
        <v>18144</v>
      </c>
      <c r="Y59">
        <f>SUM(F55:W55)</f>
        <v/>
      </c>
    </row>
    <row r="60">
      <c r="A60" t="inlineStr">
        <is>
          <t>MMS1V70-CM</t>
        </is>
      </c>
      <c r="B60" t="inlineStr">
        <is>
          <t>NVDA XCVR, 100GbE, QSFP28, LC, 1310nm, Single Mode 1-lane (DR1), IP[MMS1V70-CM]</t>
        </is>
      </c>
      <c r="C60" t="inlineStr">
        <is>
          <t>980-9I042-00C000</t>
        </is>
      </c>
      <c r="D60" t="inlineStr">
        <is>
          <t>8XTGF</t>
        </is>
      </c>
      <c r="E60" t="inlineStr">
        <is>
          <t>Transceiver</t>
        </is>
      </c>
      <c r="G60" t="n">
        <v>0</v>
      </c>
      <c r="H60" t="n">
        <v>0</v>
      </c>
      <c r="I60" t="n">
        <v>24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Y60">
        <f>SUM(F56:W56)</f>
        <v/>
      </c>
    </row>
    <row r="61">
      <c r="A61" t="inlineStr">
        <is>
          <t>MMS1X00-NS400</t>
        </is>
      </c>
      <c r="B61" t="inlineStr">
        <is>
          <t>NVDA XCVR400GbE, QSFP112, MPO12 APC, R4, SMF, p to 500m, Flattop (MMS1X00-NS400)</t>
        </is>
      </c>
      <c r="C61" t="inlineStr">
        <is>
          <t>980-9I068-00NM00</t>
        </is>
      </c>
      <c r="D61" t="inlineStr">
        <is>
          <t>6YVDP</t>
        </is>
      </c>
      <c r="E61" t="inlineStr">
        <is>
          <t>Transceiver</t>
        </is>
      </c>
      <c r="G61" t="n">
        <v>64</v>
      </c>
      <c r="H61" t="n">
        <v>0</v>
      </c>
      <c r="I61" t="n">
        <v>0</v>
      </c>
      <c r="J61" t="n">
        <v>64</v>
      </c>
      <c r="K61" t="n">
        <v>8712</v>
      </c>
      <c r="L61" t="n">
        <v>64</v>
      </c>
      <c r="M61" t="n">
        <v>7260</v>
      </c>
      <c r="N61" t="n">
        <v>640</v>
      </c>
      <c r="O61" t="n">
        <v>192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Y61">
        <f>SUM(F57:W57)</f>
        <v/>
      </c>
    </row>
    <row r="62">
      <c r="A62" t="inlineStr">
        <is>
          <t>MMS1X00-NS400 - 6YVDP</t>
        </is>
      </c>
      <c r="B62" t="inlineStr">
        <is>
          <t>NVDA XCVR400GbE, QSFP112, MPO12 APC, R4, SMF, p to 500m, Flattop (MMS1X00-NS400)</t>
        </is>
      </c>
      <c r="C62" t="inlineStr">
        <is>
          <t>980-9I068-00NM00</t>
        </is>
      </c>
      <c r="D62" t="inlineStr">
        <is>
          <t>6YVDP</t>
        </is>
      </c>
      <c r="E62" t="inlineStr">
        <is>
          <t>Transceiver</t>
        </is>
      </c>
      <c r="G62" t="n">
        <v>192</v>
      </c>
      <c r="H62" t="n">
        <v>192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Y62">
        <f>SUM(F58:W58)</f>
        <v/>
      </c>
    </row>
    <row r="63">
      <c r="A63" t="inlineStr">
        <is>
          <t>MMS4X00-NM-T</t>
        </is>
      </c>
      <c r="B63" t="inlineStr">
        <is>
          <t>NVDA twin port XCVR, 800GbE,2x400,IPonly,O112,2xMPO12 APC,1310N SMF,to 500m,finned HIS[MMS4X00-NM-T]</t>
        </is>
      </c>
      <c r="C63" t="inlineStr">
        <is>
          <t>980-9I30G-F4NM00</t>
        </is>
      </c>
      <c r="D63" t="inlineStr">
        <is>
          <t>YW1C0</t>
        </is>
      </c>
      <c r="E63" t="inlineStr">
        <is>
          <t>Transceiver</t>
        </is>
      </c>
      <c r="G63" t="n">
        <v>1240</v>
      </c>
      <c r="H63" t="n">
        <v>360</v>
      </c>
      <c r="I63" t="n">
        <v>0</v>
      </c>
      <c r="J63" t="n">
        <v>1024</v>
      </c>
      <c r="K63" t="n">
        <v>2524</v>
      </c>
      <c r="L63" t="n">
        <v>2320</v>
      </c>
      <c r="M63" t="n">
        <v>2046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Y63">
        <f>SUM(F59:W59)</f>
        <v/>
      </c>
    </row>
    <row r="64">
      <c r="A64" t="inlineStr">
        <is>
          <t>MPO OSFP112-800G-2x400G-2DR4 Twin</t>
        </is>
      </c>
      <c r="C64" t="inlineStr">
        <is>
          <t>MPO OSFP112-800G-2x400G-2DR4 Twin</t>
        </is>
      </c>
      <c r="E64" t="inlineStr">
        <is>
          <t>Transceiver</t>
        </is>
      </c>
      <c r="U64" t="n">
        <v>3148</v>
      </c>
      <c r="V64" t="n">
        <v>3148</v>
      </c>
      <c r="W64" t="n">
        <v>11464</v>
      </c>
      <c r="X64" t="n">
        <v>6460</v>
      </c>
      <c r="Y64">
        <f>SUM(F60:W60)</f>
        <v/>
      </c>
    </row>
    <row r="65">
      <c r="A65" t="inlineStr">
        <is>
          <t>MPO OSFP224-1600G-2x800G-2DR4 Twin RHS</t>
        </is>
      </c>
      <c r="C65" t="inlineStr">
        <is>
          <t>MPO OSFP224-1600G-2x800G-2DR4 Twin RHS</t>
        </is>
      </c>
      <c r="E65" t="inlineStr">
        <is>
          <t>Transceiver</t>
        </is>
      </c>
      <c r="U65" t="n">
        <v>8064</v>
      </c>
      <c r="V65" t="n">
        <v>8064</v>
      </c>
      <c r="W65" t="n">
        <v>17136</v>
      </c>
      <c r="X65" t="n">
        <v>9072</v>
      </c>
      <c r="Y65">
        <f>SUM(F61:W61)</f>
        <v/>
      </c>
    </row>
    <row r="66">
      <c r="A66" t="inlineStr">
        <is>
          <t>MPO QSFP112-400G-DR4</t>
        </is>
      </c>
      <c r="C66" t="inlineStr">
        <is>
          <t>MPO QSFP112-400G-DR4</t>
        </is>
      </c>
      <c r="E66" t="inlineStr">
        <is>
          <t>Cables</t>
        </is>
      </c>
      <c r="U66" t="n">
        <v>4092</v>
      </c>
      <c r="V66" t="n">
        <v>4092</v>
      </c>
      <c r="W66" t="n">
        <v>8628</v>
      </c>
      <c r="X66" t="n">
        <v>4760</v>
      </c>
      <c r="Y66">
        <f>SUM(F62:W62)</f>
        <v/>
      </c>
    </row>
    <row r="67">
      <c r="A67" t="inlineStr">
        <is>
          <t>MPO QSFP56DD-400G-DR4</t>
        </is>
      </c>
      <c r="C67" t="inlineStr">
        <is>
          <t>MPO QSFP56DD-400G-DR4</t>
        </is>
      </c>
      <c r="E67" t="inlineStr">
        <is>
          <t>Cables</t>
        </is>
      </c>
      <c r="U67" t="n">
        <v>200</v>
      </c>
      <c r="V67" t="n">
        <v>200</v>
      </c>
      <c r="W67" t="n">
        <v>398</v>
      </c>
      <c r="X67" t="n">
        <v>230</v>
      </c>
      <c r="Y67">
        <f>SUM(F63:W63)</f>
        <v/>
      </c>
    </row>
    <row r="68">
      <c r="A68" t="inlineStr">
        <is>
          <t>MPO12/APC SMF</t>
        </is>
      </c>
      <c r="C68" t="inlineStr">
        <is>
          <t>MPO12/APC SMF</t>
        </is>
      </c>
      <c r="E68" t="inlineStr">
        <is>
          <t>Cables</t>
        </is>
      </c>
      <c r="U68" t="n">
        <v>5164</v>
      </c>
      <c r="V68" t="n">
        <v>5164</v>
      </c>
      <c r="W68" t="n">
        <v>15748</v>
      </c>
      <c r="X68" t="n">
        <v>8468</v>
      </c>
      <c r="Y68">
        <f>SUM(F64:W64)</f>
        <v/>
      </c>
    </row>
    <row r="69">
      <c r="A69" t="inlineStr">
        <is>
          <t>MPO12/APC SMF Jumper</t>
        </is>
      </c>
      <c r="C69" t="inlineStr">
        <is>
          <t>MPO12/APC SMF Jumper</t>
        </is>
      </c>
      <c r="E69" t="inlineStr">
        <is>
          <t>Cables</t>
        </is>
      </c>
      <c r="U69" t="n">
        <v>16128</v>
      </c>
      <c r="Y69">
        <f>SUM(F65:W65)</f>
        <v/>
      </c>
    </row>
    <row r="70">
      <c r="A70" t="inlineStr">
        <is>
          <t>MPO12/APC-2MPO12/APC SMF</t>
        </is>
      </c>
      <c r="C70" t="inlineStr">
        <is>
          <t>MPO12/APC-2MPO12/APC SMF</t>
        </is>
      </c>
      <c r="E70" t="inlineStr">
        <is>
          <t>Cables</t>
        </is>
      </c>
      <c r="U70" t="n">
        <v>30</v>
      </c>
      <c r="V70" t="n">
        <v>30</v>
      </c>
      <c r="W70" t="n">
        <v>30</v>
      </c>
      <c r="X70" t="n">
        <v>112</v>
      </c>
      <c r="Y70">
        <f>SUM(F66:W66)</f>
        <v/>
      </c>
    </row>
    <row r="71">
      <c r="A71" t="inlineStr">
        <is>
          <t>MPO12/APC-4LC SMF</t>
        </is>
      </c>
      <c r="C71" t="inlineStr">
        <is>
          <t>MPO12/APC-4LC SMF</t>
        </is>
      </c>
      <c r="E71" t="inlineStr">
        <is>
          <t>Cables</t>
        </is>
      </c>
      <c r="U71" t="n">
        <v>184</v>
      </c>
      <c r="V71" t="n">
        <v>184</v>
      </c>
      <c r="W71" t="n">
        <v>382</v>
      </c>
      <c r="X71" t="n">
        <v>214</v>
      </c>
      <c r="Y71">
        <f>SUM(F67:W67)</f>
        <v/>
      </c>
    </row>
    <row r="72">
      <c r="A72" t="inlineStr">
        <is>
          <t>MPO12/APC-MMC12/APC SMF</t>
        </is>
      </c>
      <c r="C72" t="inlineStr">
        <is>
          <t>MPO12/APC-MMC12/APC SMF</t>
        </is>
      </c>
      <c r="E72" t="inlineStr">
        <is>
          <t>Cables</t>
        </is>
      </c>
      <c r="U72" t="n">
        <v>16128</v>
      </c>
      <c r="V72" t="n">
        <v>16128</v>
      </c>
      <c r="W72" t="n">
        <v>34272</v>
      </c>
      <c r="X72" t="n">
        <v>18144</v>
      </c>
      <c r="Y72">
        <f>SUM(F68:W68)</f>
        <v/>
      </c>
    </row>
    <row r="73">
      <c r="A73" t="inlineStr">
        <is>
          <t>NFM93</t>
        </is>
      </c>
      <c r="B73" t="inlineStr">
        <is>
          <t>MOD,CBL,MPO12-2MPO4,SMF,30M</t>
        </is>
      </c>
      <c r="E73" t="inlineStr">
        <is>
          <t>Cables</t>
        </is>
      </c>
      <c r="G73" t="n">
        <v>96</v>
      </c>
      <c r="H73" t="n">
        <v>192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Y73">
        <f>SUM(F69:W69)</f>
        <v/>
      </c>
    </row>
    <row r="74">
      <c r="A74" t="inlineStr">
        <is>
          <t>PDU</t>
        </is>
      </c>
      <c r="C74" t="inlineStr">
        <is>
          <t>PDU</t>
        </is>
      </c>
      <c r="E74" t="inlineStr">
        <is>
          <t>Other</t>
        </is>
      </c>
      <c r="U74" t="n">
        <v>56</v>
      </c>
      <c r="V74" t="n">
        <v>56</v>
      </c>
      <c r="W74" t="n">
        <v>100</v>
      </c>
      <c r="X74" t="n">
        <v>64</v>
      </c>
      <c r="Y74">
        <f>SUM(F70:W70)</f>
        <v/>
      </c>
    </row>
    <row r="75">
      <c r="A75" t="inlineStr">
        <is>
          <t>PDU 3Ph, 415V, 60A</t>
        </is>
      </c>
      <c r="B75" t="inlineStr">
        <is>
          <t>3PH, 415V, 60A, 560P6, 42 Outlet</t>
        </is>
      </c>
      <c r="E75" t="inlineStr">
        <is>
          <t>Rack</t>
        </is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Y75">
        <f>SUM(F71:W71)</f>
        <v/>
      </c>
    </row>
    <row r="76">
      <c r="A76" t="inlineStr">
        <is>
          <t>PDU per Aircool AC Rack</t>
        </is>
      </c>
      <c r="C76" t="inlineStr">
        <is>
          <t>PDU per Aircool AC Rack</t>
        </is>
      </c>
      <c r="E76" t="inlineStr">
        <is>
          <t>Other</t>
        </is>
      </c>
      <c r="U76" t="n">
        <v>2</v>
      </c>
      <c r="V76" t="n">
        <v>2</v>
      </c>
      <c r="W76" t="n">
        <v>2</v>
      </c>
      <c r="X76" t="n">
        <v>2</v>
      </c>
      <c r="Y76">
        <f>SUM(F72:W72)</f>
        <v/>
      </c>
    </row>
    <row r="77">
      <c r="A77" t="inlineStr">
        <is>
          <t>PS</t>
        </is>
      </c>
      <c r="C77" t="inlineStr">
        <is>
          <t>PS</t>
        </is>
      </c>
      <c r="E77" t="inlineStr">
        <is>
          <t>Other</t>
        </is>
      </c>
      <c r="U77" t="n">
        <v>192</v>
      </c>
      <c r="V77" t="n">
        <v>96</v>
      </c>
      <c r="W77" t="n">
        <v>208</v>
      </c>
      <c r="X77" t="n">
        <v>144</v>
      </c>
      <c r="Y77">
        <f>SUM(F73:W73)</f>
        <v/>
      </c>
    </row>
    <row r="78">
      <c r="A78" t="inlineStr">
        <is>
          <t>PS per DLC DC Rack</t>
        </is>
      </c>
      <c r="C78" t="inlineStr">
        <is>
          <t>PS per DLC DC Rack</t>
        </is>
      </c>
      <c r="E78" t="inlineStr">
        <is>
          <t>Other</t>
        </is>
      </c>
      <c r="U78" t="n">
        <v>4</v>
      </c>
      <c r="V78" t="n">
        <v>4</v>
      </c>
      <c r="W78" t="n">
        <v>4</v>
      </c>
      <c r="X78" t="n">
        <v>4</v>
      </c>
      <c r="Y78">
        <f>SUM(F74:W74)</f>
        <v/>
      </c>
    </row>
    <row r="79">
      <c r="A79" t="inlineStr">
        <is>
          <t>SN2201 , 1U , C2P</t>
        </is>
      </c>
      <c r="B79" t="inlineStr">
        <is>
          <t>48 × RJ45 10/100/1000BASE‑T ports PLUS 4 × QSFP28 ports (can be used as 4×100 GbE, or broken out to lower speeds like 4×25 GbE, etc.)</t>
        </is>
      </c>
      <c r="E79" t="inlineStr">
        <is>
          <t>Cables</t>
        </is>
      </c>
      <c r="G79" t="n">
        <v>20</v>
      </c>
      <c r="H79" t="n">
        <v>195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Y79">
        <f>SUM(F75:W75)</f>
        <v/>
      </c>
    </row>
    <row r="80">
      <c r="A80" t="inlineStr">
        <is>
          <t>SN2201 AC</t>
        </is>
      </c>
      <c r="C80" t="inlineStr">
        <is>
          <t>SN2201 AC</t>
        </is>
      </c>
      <c r="E80" t="inlineStr">
        <is>
          <t>Other</t>
        </is>
      </c>
      <c r="U80" t="n">
        <v>90</v>
      </c>
      <c r="V80" t="n">
        <v>90</v>
      </c>
      <c r="W80" t="n">
        <v>187</v>
      </c>
      <c r="X80" t="n">
        <v>115</v>
      </c>
      <c r="Y80">
        <f>SUM(F76:W76)</f>
        <v/>
      </c>
    </row>
    <row r="81">
      <c r="A81" t="inlineStr">
        <is>
          <t>SN4700</t>
        </is>
      </c>
      <c r="C81" t="inlineStr">
        <is>
          <t>SN4700</t>
        </is>
      </c>
      <c r="E81" t="inlineStr">
        <is>
          <t>Other</t>
        </is>
      </c>
      <c r="U81" t="n">
        <v>24</v>
      </c>
      <c r="V81" t="n">
        <v>24</v>
      </c>
      <c r="W81" t="n">
        <v>42</v>
      </c>
      <c r="X81" t="n">
        <v>26</v>
      </c>
      <c r="Y81">
        <f>SUM(F77:W77)</f>
        <v/>
      </c>
    </row>
    <row r="82">
      <c r="A82" t="inlineStr">
        <is>
          <t>SN5610</t>
        </is>
      </c>
      <c r="C82" t="inlineStr">
        <is>
          <t>SN5610</t>
        </is>
      </c>
      <c r="E82" t="inlineStr">
        <is>
          <t>Other</t>
        </is>
      </c>
      <c r="U82" t="n">
        <v>86</v>
      </c>
      <c r="V82" t="n">
        <v>86</v>
      </c>
      <c r="W82" t="n">
        <v>230</v>
      </c>
      <c r="X82" t="n">
        <v>134</v>
      </c>
      <c r="Y82">
        <f>SUM(F78:W78)</f>
        <v/>
      </c>
    </row>
    <row r="83">
      <c r="A83" t="inlineStr">
        <is>
          <t>SN6800-LD</t>
        </is>
      </c>
      <c r="C83" t="inlineStr">
        <is>
          <t>SN6800-LD</t>
        </is>
      </c>
      <c r="E83" t="inlineStr">
        <is>
          <t>Switch</t>
        </is>
      </c>
      <c r="V83" t="n">
        <v>96</v>
      </c>
      <c r="W83" t="n">
        <v>208</v>
      </c>
      <c r="X83" t="n">
        <v>144</v>
      </c>
      <c r="Y83">
        <f>SUM(F79:W79)</f>
        <v/>
      </c>
    </row>
    <row r="84">
      <c r="A84" t="inlineStr">
        <is>
          <t>SN6810-LD</t>
        </is>
      </c>
      <c r="C84" t="inlineStr">
        <is>
          <t>SN6810-LD</t>
        </is>
      </c>
      <c r="E84" t="inlineStr">
        <is>
          <t>Switch</t>
        </is>
      </c>
      <c r="U84" t="n">
        <v>384</v>
      </c>
      <c r="Y84">
        <f>SUM(F80:W80)</f>
        <v/>
      </c>
    </row>
    <row r="85">
      <c r="A85" t="inlineStr">
        <is>
          <t>Shuffle 4x4 units</t>
        </is>
      </c>
      <c r="B85" t="inlineStr">
        <is>
          <t>CommScope</t>
        </is>
      </c>
      <c r="E85" t="inlineStr">
        <is>
          <t>Rack</t>
        </is>
      </c>
      <c r="G85" t="n">
        <v>0</v>
      </c>
      <c r="H85" t="n">
        <v>0</v>
      </c>
      <c r="I85" t="n">
        <v>144</v>
      </c>
      <c r="J85" t="n">
        <v>0</v>
      </c>
      <c r="K85" t="n">
        <v>18288</v>
      </c>
      <c r="L85" t="n">
        <v>0</v>
      </c>
      <c r="M85" t="n">
        <v>7560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Y85">
        <f>SUM(F81:W81)</f>
        <v/>
      </c>
    </row>
    <row r="86">
      <c r="A86" t="inlineStr">
        <is>
          <t>T1-NtwkRack</t>
        </is>
      </c>
      <c r="C86" t="inlineStr">
        <is>
          <t>T1-NtwkRack</t>
        </is>
      </c>
      <c r="E86" t="inlineStr">
        <is>
          <t>Other</t>
        </is>
      </c>
      <c r="U86" t="n">
        <v>32</v>
      </c>
      <c r="Y86">
        <f>SUM(F82:W82)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2026-10-05T14:18:29Z</dcterms:created>
  <dcterms:modified xsi:type="dcterms:W3CDTF">2026-10-06T18:30:48Z</dcterms:modified>
  <cp:lastModifiedBy>Abuzaid, Abdullah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7bd41d9-d1d6-4f41-bf46-97f0241fcca2_Enabled" fmtid="{D5CDD505-2E9C-101B-9397-08002B2CF9AE}" pid="2">
    <vt:lpwstr>true</vt:lpwstr>
  </property>
  <property name="MSIP_Label_a7bd41d9-d1d6-4f41-bf46-97f0241fcca2_SetDate" fmtid="{D5CDD505-2E9C-101B-9397-08002B2CF9AE}" pid="3">
    <vt:lpwstr>2026-10-06T15:34:17Z</vt:lpwstr>
  </property>
  <property name="MSIP_Label_a7bd41d9-d1d6-4f41-bf46-97f0241fcca2_Method" fmtid="{D5CDD505-2E9C-101B-9397-08002B2CF9AE}" pid="4">
    <vt:lpwstr>Privileged</vt:lpwstr>
  </property>
  <property name="MSIP_Label_a7bd41d9-d1d6-4f41-bf46-97f0241fcca2_Name" fmtid="{D5CDD505-2E9C-101B-9397-08002B2CF9AE}" pid="5">
    <vt:lpwstr>No Visual Label</vt:lpwstr>
  </property>
  <property name="MSIP_Label_a7bd41d9-d1d6-4f41-bf46-97f0241fcca2_SiteId" fmtid="{D5CDD505-2E9C-101B-9397-08002B2CF9AE}" pid="6">
    <vt:lpwstr>945c199a-83a2-4e80-9f8c-5a91be5752dd</vt:lpwstr>
  </property>
  <property name="MSIP_Label_a7bd41d9-d1d6-4f41-bf46-97f0241fcca2_ActionId" fmtid="{D5CDD505-2E9C-101B-9397-08002B2CF9AE}" pid="7">
    <vt:lpwstr>86c8142b-8a30-4697-8066-edbb9ef6a27e</vt:lpwstr>
  </property>
  <property name="MSIP_Label_a7bd41d9-d1d6-4f41-bf46-97f0241fcca2_ContentBits" fmtid="{D5CDD505-2E9C-101B-9397-08002B2CF9AE}" pid="8">
    <vt:lpwstr>0</vt:lpwstr>
  </property>
  <property name="MSIP_Label_a7bd41d9-d1d6-4f41-bf46-97f0241fcca2_Tag" fmtid="{D5CDD505-2E9C-101B-9397-08002B2CF9AE}" pid="9">
    <vt:lpwstr>10, 0, 1, 1</vt:lpwstr>
  </property>
</Properties>
</file>